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4D1C537B-E38A-612A-F078-A93A15B4B7F4}"/>
  <workbookPr showInkAnnotation="0" codeName="ThisWorkbook" defaultThemeVersion="124226"/>
  <mc:AlternateContent xmlns:mc="http://schemas.openxmlformats.org/markup-compatibility/2006">
    <mc:Choice Requires="x15">
      <x15ac:absPath xmlns:x15ac="http://schemas.microsoft.com/office/spreadsheetml/2010/11/ac" url="Z:\Developer\Git\Dolgu\"/>
    </mc:Choice>
  </mc:AlternateContent>
  <xr:revisionPtr revIDLastSave="0" documentId="13_ncr:1_{CEC40E3D-5B12-4C7C-9947-07FB2F03FC02}" xr6:coauthVersionLast="45" xr6:coauthVersionMax="45" xr10:uidLastSave="{00000000-0000-0000-0000-000000000000}"/>
  <workbookProtection workbookAlgorithmName="SHA-512" workbookHashValue="ttalSGx2oU620W7J5EMBZau+dJ3Gr/q2J5CM2KnAkxDwjGMrIhtCZILR6ZA3gO7x4zgKk+qeLc08XKqsyxz1ng==" workbookSaltValue="aldiRb44WnUHwX/x20l/hQ==" workbookSpinCount="100000" lockStructure="1"/>
  <bookViews>
    <workbookView xWindow="-27630" yWindow="1170" windowWidth="21600" windowHeight="11385" tabRatio="560" xr2:uid="{00000000-000D-0000-FFFF-FFFF00000000}"/>
  </bookViews>
  <sheets>
    <sheet name="Kapak" sheetId="14" r:id="rId1"/>
    <sheet name="Toprakarme" sheetId="20" r:id="rId2"/>
    <sheet name="Dolgu" sheetId="18" r:id="rId3"/>
    <sheet name="Kaynak" sheetId="19" state="hidden" r:id="rId4"/>
  </sheets>
  <functionGroups builtInGroupCount="19"/>
  <definedNames>
    <definedName name="ArmeAciklama">Toprakarme!$C$40</definedName>
    <definedName name="ArmeAraziNo">Toprakarme!$C$9:$AI$9</definedName>
    <definedName name="ArmeCBR">Toprakarme!$C$24:$AI$24</definedName>
    <definedName name="ArmeCu">Toprakarme!$C$20:$AI$20</definedName>
    <definedName name="ArmeElemeYontemi">Toprakarme!$C$28:$AI$28</definedName>
    <definedName name="ArmeGecen">Toprakarme!$C$13:$AI$13</definedName>
    <definedName name="ArmeGecenNo10">Toprakarme!$C$17:$AI$17</definedName>
    <definedName name="ArmeGecenNo200">Toprakarme!$C$19:$AI$19</definedName>
    <definedName name="ArmeGecenNo30">Toprakarme!$C$18:$AI$18</definedName>
    <definedName name="ArmeGecenNo40">Toprakarme!$C$26:$AI$26</definedName>
    <definedName name="ArmeGecenS125">Toprakarme!$C$14:$AI$14</definedName>
    <definedName name="ArmeGecenS13">Toprakarme!$C$16:$AI$16</definedName>
    <definedName name="ArmeGecenS75">Toprakarme!$C$15:$AI$15</definedName>
    <definedName name="ArmeKesafet">Toprakarme!$C$21:$AI$21</definedName>
    <definedName name="ArmeKesafetKN">Toprakarme!$C$22:$AI$22</definedName>
    <definedName name="ArmeKurutmaSekli">Toprakarme!$C$27:$AI$27</definedName>
    <definedName name="ArmeLL">Toprakarme!$C$33:$AI$33</definedName>
    <definedName name="ArmeLLTekrarSayisi">Toprakarme!$C$30:$AI$30</definedName>
    <definedName name="ArmePI">Toprakarme!$C$37:$AI$37</definedName>
    <definedName name="ArmePL">Toprakarme!$C$36:$AI$36</definedName>
    <definedName name="ArmePLTekrarSayisi">Toprakarme!$C$34:$AI$34</definedName>
    <definedName name="ArmeSisme">Toprakarme!$C$25:$AI$25</definedName>
    <definedName name="ArmeStandart">Toprakarme!$AL$26</definedName>
    <definedName name="ArmeSuIcerigi">Toprakarme!$C$29:$AI$29</definedName>
    <definedName name="DolguAciklama">Dolgu!$C$43</definedName>
    <definedName name="DolguAraziNo">Dolgu!$C$9:$AI$9</definedName>
    <definedName name="DolguCBR">Dolgu!$C$28:$AI$28</definedName>
    <definedName name="DolguElemeYontemi">Dolgu!$C$31:$AI$31</definedName>
    <definedName name="DolguGecen">Dolgu!$C$14:$AI$14</definedName>
    <definedName name="DolguGecenNo200">Dolgu!$C$24:$AI$24</definedName>
    <definedName name="DolguGecenNo40">Dolgu!$C$23:$AI$23</definedName>
    <definedName name="DolguKesafet">Dolgu!$C$25:$AI$25</definedName>
    <definedName name="DolguKesafetkN">Dolgu!$C$26:$AI$26</definedName>
    <definedName name="DolguKurutmaSekli">Dolgu!$C$30:$AI$30</definedName>
    <definedName name="DolguLL">Dolgu!$C$36:$AI$36</definedName>
    <definedName name="DolguLLTekrarSayisi">Dolgu!$C$33:$AI$33</definedName>
    <definedName name="DolguPI">Dolgu!$C$40:$AI$40</definedName>
    <definedName name="DolguPL">Dolgu!$C$39:$AI$39</definedName>
    <definedName name="DolguPLTekrarSayisi">Dolgu!$C$37:$AI$37</definedName>
    <definedName name="DolguSisme">Dolgu!$C$29:$AI$29</definedName>
    <definedName name="DolguStandart">Dolgu!$AL$30</definedName>
    <definedName name="DolguSuIcerigi">Dolgu!$C$32:$AI$32</definedName>
    <definedName name="_xlnm.Print_Area" localSheetId="2">Dolgu!$A$1:$AL$48</definedName>
    <definedName name="_xlnm.Print_Area" localSheetId="0">Kapak!$A$1:$M$21</definedName>
    <definedName name="_xlnm.Print_Area" localSheetId="1">Toprakarme!$A$1:$AL$45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7" i="18" l="1"/>
  <c r="A38" i="18" l="1"/>
  <c r="A34" i="20"/>
  <c r="A34" i="18"/>
  <c r="A29" i="20"/>
  <c r="AJ44" i="20" l="1"/>
  <c r="H44" i="20"/>
  <c r="AL4" i="20" l="1"/>
  <c r="AL3" i="20"/>
  <c r="AL2" i="20"/>
  <c r="A3" i="20"/>
  <c r="A3" i="18"/>
  <c r="AJ47" i="18" l="1"/>
  <c r="C6" i="20"/>
  <c r="C8" i="20"/>
  <c r="C6" i="18" l="1"/>
  <c r="AL4" i="18"/>
  <c r="B18" i="14"/>
  <c r="AL3" i="18" l="1"/>
  <c r="AL2" i="18"/>
  <c r="C8" i="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Yazar</author>
  </authors>
  <commentList>
    <comment ref="L3" authorId="0" shapeId="0" xr:uid="{00000000-0006-0000-0000-000001000000}">
      <text>
        <r>
          <rPr>
            <b/>
            <sz val="9"/>
            <color indexed="81"/>
            <rFont val="Tahoma"/>
            <family val="2"/>
            <charset val="162"/>
          </rPr>
          <t>Yazar:</t>
        </r>
        <r>
          <rPr>
            <sz val="9"/>
            <color indexed="81"/>
            <rFont val="Tahoma"/>
            <family val="2"/>
            <charset val="162"/>
          </rPr>
          <t xml:space="preserve">
155 Dolgu Mekanik
160 Dizayn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Mehmet Durmaz</author>
  </authors>
  <commentList>
    <comment ref="A1" authorId="0" shapeId="0" xr:uid="{00000000-0006-0000-0100-000001000000}">
      <text>
        <r>
          <rPr>
            <b/>
            <sz val="9"/>
            <color indexed="81"/>
            <rFont val="Tahoma"/>
            <family val="2"/>
            <charset val="162"/>
          </rPr>
          <t>Sayfa Numarasını buraya yaz</t>
        </r>
        <r>
          <rPr>
            <sz val="9"/>
            <color indexed="81"/>
            <rFont val="Tahoma"/>
            <family val="2"/>
            <charset val="16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Mehmet Durmaz</author>
  </authors>
  <commentList>
    <comment ref="A1" authorId="0" shapeId="0" xr:uid="{00000000-0006-0000-0200-000001000000}">
      <text>
        <r>
          <rPr>
            <sz val="9"/>
            <color indexed="81"/>
            <rFont val="Tahoma"/>
            <family val="2"/>
            <charset val="162"/>
          </rPr>
          <t>Sayfa numarasını buraya yaz</t>
        </r>
      </text>
    </comment>
  </commentList>
</comments>
</file>

<file path=xl/sharedStrings.xml><?xml version="1.0" encoding="utf-8"?>
<sst xmlns="http://schemas.openxmlformats.org/spreadsheetml/2006/main" count="228" uniqueCount="120">
  <si>
    <t>AB-0487-T</t>
  </si>
  <si>
    <t>Deneyi Yapan</t>
  </si>
  <si>
    <t>Onaylayan</t>
  </si>
  <si>
    <t xml:space="preserve">İşveren ve İşin Adı </t>
  </si>
  <si>
    <t>DENEY STANDARDI</t>
  </si>
  <si>
    <t>Lab No</t>
  </si>
  <si>
    <t>(2’’)</t>
  </si>
  <si>
    <t>(1 ½”)</t>
  </si>
  <si>
    <t>(1”)</t>
  </si>
  <si>
    <t>(3/4”)</t>
  </si>
  <si>
    <t>(3/8”)</t>
  </si>
  <si>
    <t xml:space="preserve">(No.40) </t>
  </si>
  <si>
    <t>&lt; 50</t>
  </si>
  <si>
    <t>≤ 60</t>
  </si>
  <si>
    <t>&lt; 40</t>
  </si>
  <si>
    <t>≤ 35</t>
  </si>
  <si>
    <t>Standart</t>
  </si>
  <si>
    <t>&gt; 10</t>
  </si>
  <si>
    <t>≤ 3,0</t>
  </si>
  <si>
    <t>Approval</t>
  </si>
  <si>
    <t>&lt; 15</t>
  </si>
  <si>
    <t>Elekler</t>
  </si>
  <si>
    <t xml:space="preserve">Mehmet TOKGÖZ
Araştırma ve Geliştirme Başmühendisi
</t>
  </si>
  <si>
    <t xml:space="preserve">Neslinur Sinem KAVAK
Yol ve Yapı Malzemeleri Şefi
</t>
  </si>
  <si>
    <r>
      <t xml:space="preserve">Karayolları Genel Müdürlüğü
1. Bölge Müdürlüğü
Araştırma ve Geliştirme Başmühendisliği
</t>
    </r>
    <r>
      <rPr>
        <sz val="14"/>
        <color theme="1"/>
        <rFont val="Cambria"/>
        <family val="1"/>
        <charset val="162"/>
        <scheme val="major"/>
      </rPr>
      <t>34408 Kağıthane/İSTANBUL</t>
    </r>
    <r>
      <rPr>
        <b/>
        <sz val="14"/>
        <color theme="1"/>
        <rFont val="Cambria"/>
        <family val="1"/>
        <charset val="162"/>
        <scheme val="major"/>
      </rPr>
      <t xml:space="preserve">
</t>
    </r>
    <r>
      <rPr>
        <sz val="14"/>
        <color theme="1"/>
        <rFont val="Cambria"/>
        <family val="1"/>
        <charset val="162"/>
        <scheme val="major"/>
      </rPr>
      <t>Deney Raporu</t>
    </r>
    <r>
      <rPr>
        <b/>
        <sz val="14"/>
        <color theme="1"/>
        <rFont val="Cambria"/>
        <family val="1"/>
        <charset val="162"/>
        <scheme val="major"/>
      </rPr>
      <t xml:space="preserve">
</t>
    </r>
    <r>
      <rPr>
        <i/>
        <sz val="14"/>
        <color theme="1"/>
        <rFont val="Cambria"/>
        <family val="1"/>
        <charset val="162"/>
        <scheme val="major"/>
      </rPr>
      <t>Test Report</t>
    </r>
  </si>
  <si>
    <t>Tarih
Date</t>
  </si>
  <si>
    <t>Hazırlayan</t>
  </si>
  <si>
    <t>Deneyin Yapıldığı Laboratuvar</t>
  </si>
  <si>
    <r>
      <rPr>
        <sz val="14"/>
        <color theme="1"/>
        <rFont val="Cambria"/>
        <family val="1"/>
        <charset val="162"/>
        <scheme val="major"/>
      </rPr>
      <t xml:space="preserve">Deney Raporu
</t>
    </r>
    <r>
      <rPr>
        <i/>
        <sz val="14"/>
        <color theme="1"/>
        <rFont val="Cambria"/>
        <family val="1"/>
        <charset val="162"/>
        <scheme val="major"/>
      </rPr>
      <t>Test Report</t>
    </r>
  </si>
  <si>
    <t>Prepared by</t>
  </si>
  <si>
    <t>TS 1900-1</t>
  </si>
  <si>
    <r>
      <rPr>
        <b/>
        <sz val="8"/>
        <color theme="1"/>
        <rFont val="Cambria"/>
        <family val="1"/>
        <charset val="162"/>
        <scheme val="major"/>
      </rPr>
      <t xml:space="preserve">** İşaretli deneyler, akreditasyon kapsamındadır. </t>
    </r>
    <r>
      <rPr>
        <sz val="8"/>
        <color theme="1"/>
        <rFont val="Cambria"/>
        <family val="1"/>
        <charset val="162"/>
        <scheme val="major"/>
      </rPr>
      <t xml:space="preserve">
Deney sonuçları, sadece deneye tabi tutulan numuneler için geçerlidir. 
Laboratuvarlarımız tarafından numune alma işlemi gerçekleştirilmediğinden, deneye tabi tutulan numunelerin temsil özelliğinden laboratuvarlarımız sorumlu değildir.</t>
    </r>
  </si>
  <si>
    <t>75 mm (3’’)</t>
  </si>
  <si>
    <t>50 mm (2’’)</t>
  </si>
  <si>
    <t>19 mm (3/4”)</t>
  </si>
  <si>
    <t>9,5 mm (3/8”)</t>
  </si>
  <si>
    <t xml:space="preserve">4,75 mm (No.4) </t>
  </si>
  <si>
    <t>2,00 mm (No.10)</t>
  </si>
  <si>
    <t xml:space="preserve">0,425 mm (No.40) </t>
  </si>
  <si>
    <t>0,075 mm (No.200)</t>
  </si>
  <si>
    <t>37,5 mm (1 ½”)</t>
  </si>
  <si>
    <t>25 mm (1”)</t>
  </si>
  <si>
    <t>Arazi No / Araştırma Çukuru</t>
  </si>
  <si>
    <r>
      <rPr>
        <b/>
        <sz val="8"/>
        <color theme="1"/>
        <rFont val="Cambria"/>
        <family val="1"/>
        <charset val="162"/>
        <scheme val="major"/>
      </rPr>
      <t>* Hakkında görüş verilen/yorum yapılan sonuçlar, akredite edilmiş kapsam ile ilişkili değildir.</t>
    </r>
    <r>
      <rPr>
        <sz val="8"/>
        <color theme="1"/>
        <rFont val="Cambria"/>
        <family val="1"/>
        <charset val="162"/>
        <scheme val="major"/>
      </rPr>
      <t xml:space="preserve">
Bu rapor, laboratuvarın yazılı izni olmadan kısmen kopyalanıp çoğaltılamaz.  İmzasız raporlar geçersizdir
İribat Bilgileri:
Tel: (0 212) 312 17 00 
Faks: (0 212) 312 74 12
E-Posta: bol01@kgm.gov.tr</t>
    </r>
  </si>
  <si>
    <t>Laboratuvar Sorumlusu</t>
  </si>
  <si>
    <t>Person in Charge of Laboratory</t>
  </si>
  <si>
    <t>Toprak ve Stabilizasyon Laboratuvarı</t>
  </si>
  <si>
    <t>AÇIKLAMALAR</t>
  </si>
  <si>
    <r>
      <t xml:space="preserve">Maks.Kuru Br.Ağ., </t>
    </r>
    <r>
      <rPr>
        <b/>
        <i/>
        <sz val="8"/>
        <color theme="1"/>
        <rFont val="Arial"/>
        <family val="2"/>
        <charset val="162"/>
      </rPr>
      <t>t/m³ x 9,81 = kN/m</t>
    </r>
    <r>
      <rPr>
        <b/>
        <i/>
        <vertAlign val="superscript"/>
        <sz val="8"/>
        <color theme="1"/>
        <rFont val="Arial"/>
        <family val="2"/>
        <charset val="162"/>
      </rPr>
      <t>3</t>
    </r>
  </si>
  <si>
    <t>Raporun üst yazısının elektronik ortamda, elektronik imza ile onaylanma tarihidir.</t>
  </si>
  <si>
    <r>
      <t xml:space="preserve">Deney laboratuvarı olarak faaliyet gösteren [Karayolları 1. Bölge Müdürlüğü Araştırma ve Geliştirme Başmühendisliği], TÜRKAK'tan [AB-0487-T] ile [TS EN ISO/IEC 17025: 2017] standardına göre akredite edilmiştir. 
</t>
    </r>
    <r>
      <rPr>
        <i/>
        <sz val="9"/>
        <color theme="1"/>
        <rFont val="Cambria"/>
        <family val="1"/>
        <charset val="162"/>
        <scheme val="major"/>
      </rPr>
      <t>[Karayolları 1. Bölge Müdürlüğü Araştırma ve Geliştirme Başmühendisliği] accredited by TÜRKAK under registration number [AB-0487-T] for [TS EN ISO/IEC 17025: 2017] as test laboratory</t>
    </r>
    <r>
      <rPr>
        <b/>
        <sz val="9"/>
        <color theme="1"/>
        <rFont val="Cambria"/>
        <family val="1"/>
        <charset val="162"/>
        <scheme val="major"/>
      </rPr>
      <t xml:space="preserve">
Türk Akreditasyon Kurumu(TÜRKAK) deney raporlarının tanınırlığı konusunda Avrupa Akreditasyon Birliği(EA) ile Çok Taraflı Anlaşma ve Uluslararası Laboratuvar Akreditasyon Birliği(ILAC) ile karşılıklı tanıma anlaşması imzalamıştır.
</t>
    </r>
    <r>
      <rPr>
        <i/>
        <sz val="9"/>
        <color theme="1"/>
        <rFont val="Cambria"/>
        <family val="1"/>
        <charset val="162"/>
        <scheme val="major"/>
      </rPr>
      <t>Turkish Accreditation Agency (TURKAK) is a signatory to the European co-operation for Accreditation (EA) Multilateral Agreement (MLA) and to the International Laboratory Accreditation Cooperation (ILAC) Mutual Recognition Arrangement (MRA) for the recognition of test reports</t>
    </r>
    <r>
      <rPr>
        <b/>
        <sz val="9"/>
        <color theme="1"/>
        <rFont val="Cambria"/>
        <family val="1"/>
        <charset val="162"/>
        <scheme val="major"/>
      </rPr>
      <t xml:space="preserve">
Deney ve /veya ölçüm sonuçları, genişletilmiş ölçüm belirsizlikleri (olması halinde) ve deney metotları bu sertifikanın tamamlayıcı kısmı olan takip eden sayfalarda verilmiştir.
</t>
    </r>
    <r>
      <rPr>
        <i/>
        <sz val="9"/>
        <color theme="1"/>
        <rFont val="Cambria"/>
        <family val="1"/>
        <charset val="162"/>
        <scheme val="major"/>
      </rPr>
      <t>The test and/or measurement results, the uncertainties ( if applicable ) with confidence probability and test methods are given on the following pages which are part of this report.</t>
    </r>
  </si>
  <si>
    <t>** İşaretli deneyler, akreditasyon kapsamındadır.
Bu rapor, laboratuvarın yazılı izni olmadan kısmen kopyalanıp çoğaltılamaz. İmzasız raporlar geçersizdir.
** Marked testings are included in the accreditation scope
This report shall not be reproduced other than in full except with the permission of the laboratory. Test reports without signature are not valid
B01.ARŞ.KP.01-FR.04/Rev.11/20.03.2019</t>
  </si>
  <si>
    <t>Araştırma ve Geliştirme Başmühendisliği, 
B01.ARŞ.KP.01-FR.04/Rev.11/20.03.2019</t>
  </si>
  <si>
    <t>Raporun yayınlanma tarihi
Publication date of the report</t>
  </si>
  <si>
    <r>
      <t xml:space="preserve">Müşterinin adı / adresi
</t>
    </r>
    <r>
      <rPr>
        <i/>
        <sz val="10"/>
        <color rgb="FF000000"/>
        <rFont val="Cambria"/>
        <family val="1"/>
        <charset val="162"/>
        <scheme val="major"/>
      </rPr>
      <t>Customer name / address</t>
    </r>
  </si>
  <si>
    <r>
      <t xml:space="preserve">İstek numarası
</t>
    </r>
    <r>
      <rPr>
        <i/>
        <sz val="10"/>
        <color rgb="FF000000"/>
        <rFont val="Cambria"/>
        <family val="1"/>
        <charset val="162"/>
        <scheme val="major"/>
      </rPr>
      <t>Order No.</t>
    </r>
  </si>
  <si>
    <r>
      <t xml:space="preserve">Numunenin adı ve tarifi
</t>
    </r>
    <r>
      <rPr>
        <i/>
        <sz val="10"/>
        <color rgb="FF000000"/>
        <rFont val="Cambria"/>
        <family val="1"/>
        <charset val="162"/>
        <scheme val="major"/>
      </rPr>
      <t xml:space="preserve">Name and identity of the test item </t>
    </r>
  </si>
  <si>
    <r>
      <t xml:space="preserve">Numunenin kabul tarihi
</t>
    </r>
    <r>
      <rPr>
        <i/>
        <sz val="10"/>
        <color rgb="FF000000"/>
        <rFont val="Cambria"/>
        <family val="1"/>
        <charset val="162"/>
        <scheme val="major"/>
      </rPr>
      <t>The Date of receipt of test item</t>
    </r>
  </si>
  <si>
    <r>
      <t xml:space="preserve">Açıklamalar
</t>
    </r>
    <r>
      <rPr>
        <i/>
        <sz val="10"/>
        <color rgb="FF000000"/>
        <rFont val="Cambria"/>
        <family val="1"/>
        <charset val="162"/>
        <scheme val="major"/>
      </rPr>
      <t>Remarks</t>
    </r>
  </si>
  <si>
    <r>
      <t xml:space="preserve">Deneyin Yapıldığı Tarih
</t>
    </r>
    <r>
      <rPr>
        <i/>
        <sz val="10"/>
        <color rgb="FF000000"/>
        <rFont val="Cambria"/>
        <family val="1"/>
        <charset val="162"/>
        <scheme val="major"/>
      </rPr>
      <t>Date of test</t>
    </r>
  </si>
  <si>
    <r>
      <t xml:space="preserve">Raporun sayfa sayısı
</t>
    </r>
    <r>
      <rPr>
        <i/>
        <sz val="10"/>
        <color rgb="FF000000"/>
        <rFont val="Cambria"/>
        <family val="1"/>
        <charset val="162"/>
        <scheme val="major"/>
      </rPr>
      <t>Number of pages of the report</t>
    </r>
  </si>
  <si>
    <r>
      <t xml:space="preserve">Laboratuvar Sorumlusu
</t>
    </r>
    <r>
      <rPr>
        <i/>
        <sz val="10"/>
        <color theme="1"/>
        <rFont val="Cambria"/>
        <family val="1"/>
        <charset val="162"/>
        <scheme val="major"/>
      </rPr>
      <t>Person in Charge of Laboratory</t>
    </r>
  </si>
  <si>
    <r>
      <t xml:space="preserve">Onaylayan
</t>
    </r>
    <r>
      <rPr>
        <i/>
        <sz val="10"/>
        <color theme="1"/>
        <rFont val="Cambria"/>
        <family val="1"/>
        <charset val="162"/>
        <scheme val="major"/>
      </rPr>
      <t>Approval</t>
    </r>
  </si>
  <si>
    <t>-</t>
  </si>
  <si>
    <t>Derinlik</t>
  </si>
  <si>
    <t>TS EN ISO 17892-12</t>
  </si>
  <si>
    <t>AASHTO T89-A ve T90</t>
  </si>
  <si>
    <t>KTŞ Kısım 252.02.05.01 Dolgu Malzemesi Gradasyonu</t>
  </si>
  <si>
    <t>Arazi No</t>
  </si>
  <si>
    <t>125 mm (5’’)</t>
  </si>
  <si>
    <t>12,5 mm (½”)</t>
  </si>
  <si>
    <t>2 mm (No.10)</t>
  </si>
  <si>
    <t>0,60 mm (No.30)</t>
  </si>
  <si>
    <t>&lt; 6</t>
  </si>
  <si>
    <t>Doğal</t>
  </si>
  <si>
    <t>AASHTO
T 27
AASHTO T11</t>
  </si>
  <si>
    <t>NP</t>
  </si>
  <si>
    <t>Cu</t>
  </si>
  <si>
    <t xml:space="preserve">  </t>
  </si>
  <si>
    <t>&gt; 5</t>
  </si>
  <si>
    <t>LL1</t>
  </si>
  <si>
    <t>LL2</t>
  </si>
  <si>
    <t>PL1</t>
  </si>
  <si>
    <t>PL2</t>
  </si>
  <si>
    <t>Su içeriği</t>
  </si>
  <si>
    <t>Km / Mevkii</t>
  </si>
  <si>
    <t>Avrupa Zemin Sınıflaması</t>
  </si>
  <si>
    <t>TS EN ISO 14688 ve/veya 14689 standardına göre numune tanımı:</t>
  </si>
  <si>
    <t>TS EN ISO
14688-2</t>
  </si>
  <si>
    <t>Azalan</t>
  </si>
  <si>
    <t>Artan</t>
  </si>
  <si>
    <t>Etüvde</t>
  </si>
  <si>
    <t>Odada</t>
  </si>
  <si>
    <t>Bilinmiyor</t>
  </si>
  <si>
    <t>Ayıklama Eleme</t>
  </si>
  <si>
    <t>Yıkama Eleme</t>
  </si>
  <si>
    <t>KTŞ Tablo-206-1 Dolgu Malzemesi Özellikleri</t>
  </si>
  <si>
    <t>≥ 1,45</t>
  </si>
  <si>
    <t>≥ 14,2</t>
  </si>
  <si>
    <t>KTŞ Tablo-206-3 Koruyucu Tabaka Seçme Malzeme Özellikleri</t>
  </si>
  <si>
    <t>Vuruş sayısı, N</t>
  </si>
  <si>
    <t>Su içeriği, w %</t>
  </si>
  <si>
    <t>CBR (Yaş), %</t>
  </si>
  <si>
    <t>Şişme, %</t>
  </si>
  <si>
    <t>Plastisite İndeksi, %</t>
  </si>
  <si>
    <t>Tekrar No:</t>
  </si>
  <si>
    <t>Kurutulma Şekli</t>
  </si>
  <si>
    <t xml:space="preserve">No.40 geçen </t>
  </si>
  <si>
    <t>Eleme yöntemi</t>
  </si>
  <si>
    <t>Opt.Su içeriği, %</t>
  </si>
  <si>
    <t>Modifiye</t>
  </si>
  <si>
    <t>Titreşimli</t>
  </si>
  <si>
    <t>Deneyde Kullanılan yöntem:</t>
  </si>
  <si>
    <t>Korelasyon yöntemi:</t>
  </si>
  <si>
    <t>Deneyde kullanılan yöntem:</t>
  </si>
  <si>
    <t>% Geçen</t>
  </si>
  <si>
    <t>Tanımlama</t>
  </si>
  <si>
    <t>Kıvam Limitleri***</t>
  </si>
  <si>
    <t>Plastik Limit**, %</t>
  </si>
  <si>
    <t>Likit Limit,%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</si>
</sst>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0;0;;@"/>
    <numFmt numFmtId="167" formatCode="dd/mm/yyyy;@"/>
    <numFmt numFmtId="168" formatCode="0;\-\50;;@"/>
  </numFmts>
  <fonts count="37" x14ac:knownFonts="1">
    <font>
      <sz val="11"/>
      <color theme="1"/>
      <name val="Calibri"/>
      <family val="2"/>
      <charset val="162"/>
      <scheme val="minor"/>
    </font>
    <font>
      <sz val="9"/>
      <color theme="1"/>
      <name val="Arial"/>
      <family val="2"/>
      <charset val="162"/>
    </font>
    <font>
      <sz val="10"/>
      <color theme="1"/>
      <name val="Arial"/>
      <family val="2"/>
      <charset val="162"/>
    </font>
    <font>
      <b/>
      <sz val="10"/>
      <color theme="1"/>
      <name val="Arial"/>
      <family val="2"/>
      <charset val="162"/>
    </font>
    <font>
      <b/>
      <sz val="9"/>
      <color theme="1"/>
      <name val="Arial"/>
      <family val="2"/>
      <charset val="162"/>
    </font>
    <font>
      <sz val="8"/>
      <color theme="1"/>
      <name val="Arial"/>
      <family val="2"/>
      <charset val="162"/>
    </font>
    <font>
      <sz val="10"/>
      <name val="Arial Tur"/>
      <charset val="162"/>
    </font>
    <font>
      <b/>
      <sz val="8"/>
      <color theme="1"/>
      <name val="Arial"/>
      <family val="2"/>
      <charset val="162"/>
    </font>
    <font>
      <sz val="11"/>
      <color theme="1"/>
      <name val="Calibri"/>
      <family val="2"/>
      <scheme val="minor"/>
    </font>
    <font>
      <sz val="11"/>
      <color theme="1"/>
      <name val="Cambria"/>
      <family val="1"/>
      <charset val="162"/>
      <scheme val="major"/>
    </font>
    <font>
      <sz val="14"/>
      <color theme="1"/>
      <name val="Cambria"/>
      <family val="1"/>
      <charset val="162"/>
      <scheme val="major"/>
    </font>
    <font>
      <b/>
      <sz val="14"/>
      <color theme="1"/>
      <name val="Cambria"/>
      <family val="1"/>
      <charset val="162"/>
      <scheme val="major"/>
    </font>
    <font>
      <i/>
      <sz val="14"/>
      <color theme="1"/>
      <name val="Cambria"/>
      <family val="1"/>
      <charset val="162"/>
      <scheme val="major"/>
    </font>
    <font>
      <sz val="9"/>
      <color theme="1"/>
      <name val="Cambria"/>
      <family val="1"/>
      <charset val="162"/>
      <scheme val="major"/>
    </font>
    <font>
      <sz val="18"/>
      <color theme="1"/>
      <name val="Cambria"/>
      <family val="1"/>
      <charset val="162"/>
      <scheme val="major"/>
    </font>
    <font>
      <sz val="10"/>
      <color theme="1"/>
      <name val="Cambria"/>
      <family val="1"/>
      <charset val="162"/>
      <scheme val="major"/>
    </font>
    <font>
      <b/>
      <sz val="9"/>
      <color indexed="81"/>
      <name val="Tahoma"/>
      <family val="2"/>
      <charset val="162"/>
    </font>
    <font>
      <sz val="9"/>
      <color indexed="81"/>
      <name val="Tahoma"/>
      <family val="2"/>
      <charset val="162"/>
    </font>
    <font>
      <sz val="8"/>
      <color theme="1"/>
      <name val="Cambria"/>
      <family val="1"/>
      <charset val="162"/>
      <scheme val="major"/>
    </font>
    <font>
      <sz val="10"/>
      <name val="Arial"/>
      <family val="2"/>
      <charset val="162"/>
    </font>
    <font>
      <i/>
      <sz val="9"/>
      <color theme="1"/>
      <name val="Arial"/>
      <family val="2"/>
      <charset val="162"/>
    </font>
    <font>
      <sz val="12"/>
      <color theme="1"/>
      <name val="Cambria"/>
      <family val="1"/>
      <charset val="162"/>
      <scheme val="major"/>
    </font>
    <font>
      <i/>
      <sz val="9"/>
      <color theme="1"/>
      <name val="Cambria"/>
      <family val="1"/>
      <charset val="162"/>
      <scheme val="major"/>
    </font>
    <font>
      <i/>
      <sz val="8"/>
      <color theme="1"/>
      <name val="Arial"/>
      <family val="2"/>
      <charset val="162"/>
    </font>
    <font>
      <b/>
      <sz val="8"/>
      <color theme="1"/>
      <name val="Cambria"/>
      <family val="1"/>
      <charset val="162"/>
      <scheme val="major"/>
    </font>
    <font>
      <b/>
      <i/>
      <sz val="8"/>
      <color theme="1"/>
      <name val="Arial"/>
      <family val="2"/>
      <charset val="162"/>
    </font>
    <font>
      <b/>
      <sz val="8"/>
      <color theme="0"/>
      <name val="Arial"/>
      <family val="2"/>
      <charset val="162"/>
    </font>
    <font>
      <b/>
      <i/>
      <vertAlign val="superscript"/>
      <sz val="8"/>
      <color theme="1"/>
      <name val="Arial"/>
      <family val="2"/>
      <charset val="162"/>
    </font>
    <font>
      <b/>
      <sz val="10"/>
      <color theme="1"/>
      <name val="Cambria"/>
      <family val="1"/>
      <charset val="162"/>
      <scheme val="major"/>
    </font>
    <font>
      <i/>
      <sz val="10"/>
      <color theme="1"/>
      <name val="Cambria"/>
      <family val="1"/>
      <charset val="162"/>
      <scheme val="major"/>
    </font>
    <font>
      <b/>
      <sz val="9"/>
      <color theme="1"/>
      <name val="Cambria"/>
      <family val="1"/>
      <charset val="162"/>
      <scheme val="major"/>
    </font>
    <font>
      <i/>
      <sz val="10"/>
      <color rgb="FF000000"/>
      <name val="Cambria"/>
      <family val="1"/>
      <charset val="162"/>
      <scheme val="major"/>
    </font>
    <font>
      <b/>
      <i/>
      <sz val="10"/>
      <color theme="1"/>
      <name val="Cambria"/>
      <family val="1"/>
      <charset val="162"/>
      <scheme val="major"/>
    </font>
    <font>
      <b/>
      <i/>
      <sz val="10"/>
      <color rgb="FF000000"/>
      <name val="Cambria"/>
      <family val="1"/>
      <charset val="162"/>
      <scheme val="major"/>
    </font>
    <font>
      <sz val="11"/>
      <color theme="0"/>
      <name val="Cambria"/>
      <family val="1"/>
      <charset val="162"/>
      <scheme val="major"/>
    </font>
    <font>
      <i/>
      <sz val="9"/>
      <name val="Arial"/>
      <family val="2"/>
      <charset val="162"/>
    </font>
    <font>
      <sz val="9"/>
      <name val="Arial"/>
      <family val="2"/>
      <charset val="162"/>
    </font>
  </fonts>
  <fills count="2">
    <fill>
      <patternFill patternType="none"/>
    </fill>
    <fill>
      <patternFill patternType="gray125"/>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
    <xf numFmtId="0" fontId="0" fillId="0" borderId="0"/>
    <xf numFmtId="0" fontId="6" fillId="0" borderId="0"/>
    <xf numFmtId="0" fontId="8" fillId="0" borderId="0"/>
    <xf numFmtId="0" fontId="19" fillId="0" borderId="0"/>
  </cellStyleXfs>
  <cellXfs count="202">
    <xf numFmtId="0" fontId="0" fillId="0" borderId="0" xfId="0"/>
    <xf numFmtId="0" fontId="9" fillId="0" borderId="0" xfId="2" applyFont="1" applyProtection="1"/>
    <xf numFmtId="0" fontId="9" fillId="0" borderId="0" xfId="2" applyFont="1" applyProtection="1">
      <protection locked="0"/>
    </xf>
    <xf numFmtId="0" fontId="9" fillId="0" borderId="0" xfId="2" applyFont="1" applyBorder="1" applyProtection="1"/>
    <xf numFmtId="0" fontId="9" fillId="0" borderId="0" xfId="2" applyFont="1" applyBorder="1" applyProtection="1">
      <protection locked="0"/>
    </xf>
    <xf numFmtId="0" fontId="15" fillId="0" borderId="0" xfId="2" applyFont="1" applyProtection="1">
      <protection locked="0"/>
    </xf>
    <xf numFmtId="0" fontId="9" fillId="0" borderId="5" xfId="2" applyFont="1" applyBorder="1" applyProtection="1"/>
    <xf numFmtId="0" fontId="3" fillId="0" borderId="5" xfId="2" applyFont="1" applyBorder="1" applyAlignment="1" applyProtection="1">
      <alignment vertical="center" wrapText="1"/>
    </xf>
    <xf numFmtId="0" fontId="15" fillId="0" borderId="0" xfId="2" applyFont="1" applyProtection="1"/>
    <xf numFmtId="0" fontId="13" fillId="0" borderId="1" xfId="2" applyFont="1" applyBorder="1" applyAlignment="1" applyProtection="1">
      <alignment horizontal="center" vertical="center" wrapText="1"/>
    </xf>
    <xf numFmtId="0" fontId="9" fillId="0" borderId="0" xfId="2" applyFont="1" applyAlignment="1" applyProtection="1">
      <alignment vertical="center"/>
      <protection locked="0"/>
    </xf>
    <xf numFmtId="0" fontId="9" fillId="0" borderId="11" xfId="2" applyFont="1" applyBorder="1" applyProtection="1"/>
    <xf numFmtId="0" fontId="2" fillId="0" borderId="6" xfId="2" applyFont="1" applyBorder="1" applyAlignment="1" applyProtection="1">
      <alignment horizontal="left" vertical="center" wrapText="1"/>
      <protection locked="0"/>
    </xf>
    <xf numFmtId="0" fontId="2" fillId="0" borderId="13" xfId="2" applyFont="1" applyBorder="1" applyAlignment="1" applyProtection="1">
      <alignment horizontal="left" vertical="center" wrapText="1"/>
      <protection locked="0"/>
    </xf>
    <xf numFmtId="0" fontId="15" fillId="0" borderId="0" xfId="2" applyFont="1" applyFill="1" applyBorder="1" applyAlignment="1" applyProtection="1">
      <alignment horizontal="center" vertical="center" wrapText="1"/>
    </xf>
    <xf numFmtId="14" fontId="2" fillId="0" borderId="6" xfId="2" applyNumberFormat="1" applyFont="1" applyBorder="1" applyAlignment="1" applyProtection="1">
      <alignment horizontal="left" vertical="center" wrapText="1"/>
      <protection locked="0"/>
    </xf>
    <xf numFmtId="0" fontId="1" fillId="0" borderId="1" xfId="2" applyFont="1" applyBorder="1" applyAlignment="1" applyProtection="1">
      <alignment horizontal="center" vertical="center" wrapText="1"/>
    </xf>
    <xf numFmtId="0" fontId="11" fillId="0" borderId="0" xfId="2" applyFont="1" applyBorder="1" applyAlignment="1" applyProtection="1">
      <alignment vertical="center" wrapText="1"/>
    </xf>
    <xf numFmtId="0" fontId="9" fillId="0" borderId="12" xfId="2" applyFont="1" applyBorder="1" applyAlignment="1" applyProtection="1">
      <alignment horizontal="center" vertical="center"/>
    </xf>
    <xf numFmtId="0" fontId="9" fillId="0" borderId="13" xfId="2" applyFont="1" applyBorder="1" applyAlignment="1" applyProtection="1">
      <alignment horizontal="center" vertical="center"/>
    </xf>
    <xf numFmtId="0" fontId="13" fillId="0" borderId="6" xfId="2" applyFont="1" applyBorder="1" applyAlignment="1" applyProtection="1">
      <alignment horizontal="center" vertical="center" wrapText="1"/>
    </xf>
    <xf numFmtId="0" fontId="13" fillId="0" borderId="6" xfId="2" applyFont="1" applyBorder="1" applyAlignment="1" applyProtection="1">
      <alignment horizontal="center" vertical="center" wrapText="1"/>
      <protection locked="0"/>
    </xf>
    <xf numFmtId="167" fontId="13" fillId="0" borderId="6" xfId="2" applyNumberFormat="1" applyFont="1" applyBorder="1" applyAlignment="1" applyProtection="1">
      <alignment horizontal="center" vertical="center" wrapText="1"/>
      <protection locked="0"/>
    </xf>
    <xf numFmtId="0" fontId="18" fillId="0" borderId="0" xfId="2" applyFont="1" applyBorder="1" applyAlignment="1" applyProtection="1">
      <alignment vertical="top" wrapText="1"/>
    </xf>
    <xf numFmtId="0" fontId="13" fillId="0" borderId="10" xfId="2" applyFont="1" applyBorder="1" applyAlignment="1" applyProtection="1">
      <alignment horizontal="center" vertical="center" wrapText="1"/>
      <protection locked="0"/>
    </xf>
    <xf numFmtId="167" fontId="13" fillId="0" borderId="1" xfId="2" applyNumberFormat="1" applyFont="1" applyBorder="1" applyAlignment="1" applyProtection="1">
      <alignment horizontal="center" vertical="center" wrapText="1"/>
      <protection locked="0"/>
    </xf>
    <xf numFmtId="0" fontId="3" fillId="0" borderId="4" xfId="2" applyFont="1" applyBorder="1" applyAlignment="1" applyProtection="1">
      <alignment vertical="center" wrapText="1"/>
    </xf>
    <xf numFmtId="0" fontId="9" fillId="0" borderId="7" xfId="2" applyFont="1" applyBorder="1" applyProtection="1"/>
    <xf numFmtId="0" fontId="9" fillId="0" borderId="2" xfId="2" applyFont="1" applyBorder="1" applyProtection="1"/>
    <xf numFmtId="0" fontId="2" fillId="0" borderId="9" xfId="2" applyFont="1" applyBorder="1" applyAlignment="1" applyProtection="1">
      <alignment horizontal="left" vertical="center" wrapText="1"/>
      <protection locked="0"/>
    </xf>
    <xf numFmtId="0" fontId="21" fillId="0" borderId="0" xfId="2" applyFont="1" applyAlignment="1" applyProtection="1">
      <alignment vertical="top" wrapText="1"/>
    </xf>
    <xf numFmtId="0" fontId="13" fillId="0" borderId="0" xfId="2" applyFont="1" applyAlignment="1" applyProtection="1">
      <alignment horizontal="center" vertical="center" wrapText="1"/>
    </xf>
    <xf numFmtId="0" fontId="1" fillId="0" borderId="10" xfId="2" applyFont="1" applyBorder="1" applyAlignment="1" applyProtection="1">
      <alignment horizontal="center" wrapText="1"/>
    </xf>
    <xf numFmtId="0" fontId="1" fillId="0" borderId="14" xfId="2" applyFont="1" applyBorder="1" applyAlignment="1" applyProtection="1">
      <alignment horizontal="center" wrapText="1"/>
    </xf>
    <xf numFmtId="167" fontId="1" fillId="0" borderId="1" xfId="2" applyNumberFormat="1" applyFont="1" applyBorder="1" applyAlignment="1" applyProtection="1">
      <alignment horizontal="center" vertical="center" wrapText="1"/>
    </xf>
    <xf numFmtId="0" fontId="9" fillId="0" borderId="12" xfId="2" applyFont="1" applyBorder="1" applyProtection="1"/>
    <xf numFmtId="0" fontId="3" fillId="0" borderId="7" xfId="2" applyFont="1" applyBorder="1" applyAlignment="1" applyProtection="1">
      <alignment vertical="center" wrapText="1"/>
    </xf>
    <xf numFmtId="0" fontId="3" fillId="0" borderId="8" xfId="2" applyFont="1" applyBorder="1" applyAlignment="1" applyProtection="1">
      <alignment vertical="center" wrapText="1"/>
    </xf>
    <xf numFmtId="0" fontId="14" fillId="0" borderId="8" xfId="2" applyFont="1" applyBorder="1" applyAlignment="1" applyProtection="1">
      <alignment vertical="top" wrapText="1"/>
    </xf>
    <xf numFmtId="0" fontId="9" fillId="0" borderId="8" xfId="2" applyFont="1" applyBorder="1" applyProtection="1"/>
    <xf numFmtId="0" fontId="15" fillId="0" borderId="8" xfId="2" applyFont="1" applyFill="1" applyBorder="1" applyAlignment="1" applyProtection="1">
      <alignment horizontal="center" vertical="center" wrapText="1"/>
    </xf>
    <xf numFmtId="0" fontId="15" fillId="0" borderId="9" xfId="2" applyFont="1" applyFill="1" applyBorder="1" applyAlignment="1" applyProtection="1">
      <alignment horizontal="center" vertical="center" wrapText="1"/>
    </xf>
    <xf numFmtId="0" fontId="4" fillId="0" borderId="12" xfId="2" applyFont="1" applyBorder="1" applyAlignment="1" applyProtection="1">
      <alignment vertical="center" wrapText="1"/>
    </xf>
    <xf numFmtId="0" fontId="23" fillId="0" borderId="0" xfId="2" applyFont="1" applyBorder="1" applyAlignment="1" applyProtection="1">
      <alignment vertical="top" wrapText="1"/>
    </xf>
    <xf numFmtId="0" fontId="2" fillId="0" borderId="0" xfId="2" applyFont="1" applyBorder="1" applyAlignment="1" applyProtection="1">
      <alignment vertical="center" wrapText="1"/>
    </xf>
    <xf numFmtId="0" fontId="2" fillId="0" borderId="0" xfId="2" applyFont="1" applyBorder="1" applyAlignment="1" applyProtection="1">
      <alignment horizontal="center" vertical="center" wrapText="1"/>
    </xf>
    <xf numFmtId="0" fontId="4" fillId="0" borderId="1" xfId="2" applyFont="1" applyBorder="1" applyAlignment="1" applyProtection="1">
      <alignment horizontal="center" vertical="center" wrapText="1"/>
    </xf>
    <xf numFmtId="0" fontId="4" fillId="0" borderId="2" xfId="2" applyFont="1" applyBorder="1" applyAlignment="1" applyProtection="1">
      <alignment horizontal="right" vertical="center" wrapText="1"/>
    </xf>
    <xf numFmtId="0" fontId="4" fillId="0" borderId="3" xfId="2" applyFont="1" applyBorder="1" applyAlignment="1" applyProtection="1">
      <alignment horizontal="right" vertical="center" wrapText="1"/>
    </xf>
    <xf numFmtId="164" fontId="1" fillId="0" borderId="1" xfId="2" applyNumberFormat="1" applyFont="1" applyBorder="1" applyAlignment="1" applyProtection="1">
      <alignment horizontal="center" vertical="center" wrapText="1"/>
      <protection locked="0"/>
    </xf>
    <xf numFmtId="0" fontId="1" fillId="0" borderId="8" xfId="2" applyFont="1" applyBorder="1" applyAlignment="1" applyProtection="1">
      <alignment horizontal="center" vertical="top" wrapText="1"/>
      <protection locked="0"/>
    </xf>
    <xf numFmtId="0" fontId="20" fillId="0" borderId="0" xfId="2" applyFont="1" applyBorder="1" applyAlignment="1" applyProtection="1">
      <alignment horizontal="center" vertical="top" wrapText="1"/>
    </xf>
    <xf numFmtId="0" fontId="4" fillId="0" borderId="12" xfId="2" applyFont="1" applyBorder="1" applyAlignment="1" applyProtection="1">
      <alignment horizontal="center" vertical="center" wrapText="1"/>
    </xf>
    <xf numFmtId="0" fontId="4" fillId="0" borderId="10" xfId="2" applyFont="1" applyBorder="1" applyAlignment="1" applyProtection="1">
      <alignment horizontal="center" vertical="center" wrapText="1"/>
    </xf>
    <xf numFmtId="0" fontId="4" fillId="0" borderId="14" xfId="2" applyFont="1" applyBorder="1" applyAlignment="1" applyProtection="1">
      <alignment horizontal="center" vertical="center" wrapText="1"/>
    </xf>
    <xf numFmtId="164" fontId="9" fillId="0" borderId="0" xfId="2" applyNumberFormat="1" applyFont="1" applyBorder="1" applyProtection="1">
      <protection locked="0"/>
    </xf>
    <xf numFmtId="0" fontId="4" fillId="0" borderId="10" xfId="2" applyFont="1" applyBorder="1" applyAlignment="1" applyProtection="1">
      <alignment vertical="center" wrapText="1"/>
    </xf>
    <xf numFmtId="164" fontId="36" fillId="0" borderId="14" xfId="2" applyNumberFormat="1" applyFont="1" applyBorder="1" applyAlignment="1" applyProtection="1">
      <alignment horizontal="center" vertical="center" wrapText="1"/>
      <protection locked="0"/>
    </xf>
    <xf numFmtId="1" fontId="1" fillId="0" borderId="1" xfId="2" applyNumberFormat="1" applyFont="1" applyBorder="1" applyAlignment="1" applyProtection="1">
      <alignment horizontal="center" vertical="center" wrapText="1"/>
      <protection locked="0"/>
    </xf>
    <xf numFmtId="1" fontId="36" fillId="0" borderId="1" xfId="2" applyNumberFormat="1" applyFont="1" applyBorder="1" applyAlignment="1" applyProtection="1">
      <alignment horizontal="center" vertical="center" wrapText="1"/>
      <protection locked="0"/>
    </xf>
    <xf numFmtId="0" fontId="36" fillId="0" borderId="1" xfId="2" applyFont="1" applyBorder="1" applyAlignment="1" applyProtection="1">
      <alignment horizontal="center" vertical="center" wrapText="1"/>
    </xf>
    <xf numFmtId="168" fontId="1" fillId="0" borderId="1" xfId="2" applyNumberFormat="1" applyFont="1" applyBorder="1" applyAlignment="1" applyProtection="1">
      <alignment horizontal="center" vertical="center" wrapText="1"/>
      <protection locked="0"/>
    </xf>
    <xf numFmtId="0" fontId="1" fillId="0" borderId="8" xfId="2" applyFont="1" applyBorder="1" applyAlignment="1" applyProtection="1">
      <alignment vertical="top" wrapText="1"/>
      <protection locked="0"/>
    </xf>
    <xf numFmtId="0" fontId="9" fillId="0" borderId="0" xfId="2" applyFont="1" applyAlignment="1" applyProtection="1">
      <alignment horizontal="right"/>
    </xf>
    <xf numFmtId="1" fontId="36" fillId="0" borderId="14" xfId="2" applyNumberFormat="1" applyFont="1" applyBorder="1" applyAlignment="1" applyProtection="1">
      <alignment horizontal="center" vertical="center" wrapText="1"/>
      <protection locked="0"/>
    </xf>
    <xf numFmtId="0" fontId="2" fillId="0" borderId="0" xfId="2" applyFont="1" applyBorder="1" applyAlignment="1" applyProtection="1">
      <alignment horizontal="center" vertical="center" wrapText="1"/>
    </xf>
    <xf numFmtId="0" fontId="4" fillId="0" borderId="2" xfId="2" applyFont="1" applyBorder="1" applyAlignment="1" applyProtection="1">
      <alignment horizontal="right" vertical="center" wrapText="1"/>
    </xf>
    <xf numFmtId="0" fontId="4" fillId="0" borderId="1" xfId="2" applyFont="1" applyBorder="1" applyAlignment="1" applyProtection="1">
      <alignment horizontal="right" vertical="center" wrapText="1"/>
    </xf>
    <xf numFmtId="0" fontId="11" fillId="0" borderId="12" xfId="2" applyFont="1" applyBorder="1" applyAlignment="1" applyProtection="1">
      <alignment horizontal="center" vertical="center" wrapText="1"/>
    </xf>
    <xf numFmtId="0" fontId="11" fillId="0" borderId="0" xfId="2" applyFont="1" applyBorder="1" applyAlignment="1" applyProtection="1">
      <alignment horizontal="center" vertical="center" wrapText="1"/>
    </xf>
    <xf numFmtId="0" fontId="18" fillId="0" borderId="12" xfId="2" applyFont="1" applyBorder="1" applyAlignment="1" applyProtection="1">
      <alignment horizontal="left" vertical="top" wrapText="1"/>
    </xf>
    <xf numFmtId="0" fontId="33" fillId="0" borderId="0" xfId="0" applyFont="1" applyBorder="1" applyAlignment="1">
      <alignment horizontal="left" vertical="center" wrapText="1"/>
    </xf>
    <xf numFmtId="0" fontId="33" fillId="0" borderId="12" xfId="0" applyFont="1" applyBorder="1" applyAlignment="1">
      <alignment horizontal="left" vertical="center" wrapText="1"/>
    </xf>
    <xf numFmtId="0" fontId="32" fillId="0" borderId="12" xfId="2" applyFont="1" applyBorder="1" applyAlignment="1" applyProtection="1">
      <alignment horizontal="center" vertical="center" wrapText="1"/>
    </xf>
    <xf numFmtId="0" fontId="28" fillId="0" borderId="12" xfId="2" applyFont="1" applyBorder="1" applyAlignment="1" applyProtection="1">
      <alignment horizontal="center" vertical="center" wrapText="1"/>
    </xf>
    <xf numFmtId="0" fontId="28" fillId="0" borderId="0" xfId="2" applyFont="1" applyBorder="1" applyAlignment="1" applyProtection="1">
      <alignment horizontal="center" vertical="center" wrapText="1"/>
    </xf>
    <xf numFmtId="0" fontId="2" fillId="0" borderId="0" xfId="2" applyFont="1" applyBorder="1" applyAlignment="1" applyProtection="1">
      <alignment horizontal="center" wrapText="1"/>
      <protection locked="0"/>
    </xf>
    <xf numFmtId="0" fontId="2" fillId="0" borderId="8" xfId="2" applyFont="1" applyBorder="1" applyAlignment="1" applyProtection="1">
      <alignment horizontal="center" wrapText="1"/>
      <protection locked="0"/>
    </xf>
    <xf numFmtId="0" fontId="32" fillId="0" borderId="13" xfId="2" applyFont="1" applyBorder="1" applyAlignment="1" applyProtection="1">
      <alignment horizontal="center" vertical="center" wrapText="1"/>
    </xf>
    <xf numFmtId="0" fontId="32" fillId="0" borderId="0" xfId="2" applyFont="1" applyBorder="1" applyAlignment="1" applyProtection="1">
      <alignment horizontal="center" vertical="center" wrapText="1"/>
    </xf>
    <xf numFmtId="0" fontId="32" fillId="0" borderId="6" xfId="2" applyFont="1" applyBorder="1" applyAlignment="1" applyProtection="1">
      <alignment horizontal="center" vertical="center" wrapText="1"/>
    </xf>
    <xf numFmtId="0" fontId="2" fillId="0" borderId="6" xfId="2" applyFont="1" applyBorder="1" applyAlignment="1" applyProtection="1">
      <alignment horizontal="center" wrapText="1"/>
      <protection locked="0"/>
    </xf>
    <xf numFmtId="0" fontId="2" fillId="0" borderId="9" xfId="2" applyFont="1" applyBorder="1" applyAlignment="1" applyProtection="1">
      <alignment horizontal="center" wrapText="1"/>
      <protection locked="0"/>
    </xf>
    <xf numFmtId="0" fontId="30" fillId="0" borderId="3" xfId="2" applyFont="1" applyBorder="1" applyAlignment="1" applyProtection="1">
      <alignment horizontal="justify" vertical="center" wrapText="1"/>
    </xf>
    <xf numFmtId="14" fontId="2" fillId="0" borderId="0" xfId="2" applyNumberFormat="1" applyFont="1" applyBorder="1" applyAlignment="1" applyProtection="1">
      <alignment horizontal="left" vertical="center" wrapText="1"/>
      <protection locked="0"/>
    </xf>
    <xf numFmtId="167" fontId="2" fillId="0" borderId="0" xfId="2" applyNumberFormat="1" applyFont="1" applyBorder="1" applyAlignment="1" applyProtection="1">
      <alignment horizontal="center" vertical="center" wrapText="1"/>
    </xf>
    <xf numFmtId="0" fontId="2" fillId="0" borderId="0" xfId="2" applyFont="1" applyBorder="1" applyAlignment="1" applyProtection="1">
      <alignment horizontal="center" vertical="center" wrapText="1"/>
    </xf>
    <xf numFmtId="0" fontId="2" fillId="0" borderId="8" xfId="2" applyFont="1" applyBorder="1" applyAlignment="1" applyProtection="1">
      <alignment horizontal="center" vertical="center" wrapText="1"/>
    </xf>
    <xf numFmtId="0" fontId="2" fillId="0" borderId="0" xfId="2" applyFont="1" applyBorder="1" applyAlignment="1" applyProtection="1">
      <alignment horizontal="left" vertical="center" wrapText="1"/>
      <protection locked="0"/>
    </xf>
    <xf numFmtId="0" fontId="2" fillId="0" borderId="0" xfId="2" applyFont="1" applyBorder="1" applyAlignment="1" applyProtection="1">
      <alignment horizontal="left" vertical="center" wrapText="1"/>
    </xf>
    <xf numFmtId="0" fontId="2" fillId="0" borderId="12" xfId="2" applyFont="1" applyBorder="1" applyAlignment="1" applyProtection="1">
      <alignment horizontal="left" vertical="center" wrapText="1"/>
      <protection locked="0"/>
    </xf>
    <xf numFmtId="0" fontId="2" fillId="0" borderId="8" xfId="2" applyFont="1" applyBorder="1" applyAlignment="1" applyProtection="1">
      <alignment horizontal="left" vertical="center" wrapText="1"/>
      <protection locked="0"/>
    </xf>
    <xf numFmtId="0" fontId="4" fillId="0" borderId="10" xfId="2" applyFont="1" applyBorder="1" applyAlignment="1" applyProtection="1">
      <alignment horizontal="center" vertical="center" wrapText="1"/>
    </xf>
    <xf numFmtId="0" fontId="4" fillId="0" borderId="15" xfId="2" applyFont="1" applyBorder="1" applyAlignment="1" applyProtection="1">
      <alignment horizontal="center" vertical="center" wrapText="1"/>
    </xf>
    <xf numFmtId="0" fontId="4" fillId="0" borderId="14" xfId="2" applyFont="1" applyBorder="1" applyAlignment="1" applyProtection="1">
      <alignment horizontal="center" vertical="center" wrapText="1"/>
    </xf>
    <xf numFmtId="0" fontId="7" fillId="0" borderId="1" xfId="2" applyFont="1" applyBorder="1" applyAlignment="1" applyProtection="1">
      <alignment horizontal="center" vertical="center" wrapText="1"/>
    </xf>
    <xf numFmtId="0" fontId="20" fillId="0" borderId="15" xfId="2" applyFont="1" applyBorder="1" applyAlignment="1" applyProtection="1">
      <alignment horizontal="left" vertical="center" wrapText="1"/>
    </xf>
    <xf numFmtId="0" fontId="1" fillId="0" borderId="15" xfId="2" applyFont="1" applyBorder="1" applyAlignment="1" applyProtection="1">
      <alignment horizontal="left" vertical="center" wrapText="1"/>
    </xf>
    <xf numFmtId="0" fontId="5" fillId="0" borderId="15" xfId="2" applyFont="1" applyBorder="1" applyAlignment="1" applyProtection="1">
      <alignment horizontal="left" vertical="top" wrapText="1"/>
    </xf>
    <xf numFmtId="0" fontId="5" fillId="0" borderId="14" xfId="2" applyFont="1" applyBorder="1" applyAlignment="1" applyProtection="1">
      <alignment horizontal="left" vertical="top" wrapText="1"/>
    </xf>
    <xf numFmtId="0" fontId="4" fillId="0" borderId="1" xfId="2" applyFont="1" applyBorder="1" applyAlignment="1" applyProtection="1">
      <alignment horizontal="center" vertical="center" wrapText="1"/>
      <protection locked="0"/>
    </xf>
    <xf numFmtId="0" fontId="7" fillId="0" borderId="10" xfId="2" applyFont="1" applyBorder="1" applyAlignment="1" applyProtection="1">
      <alignment horizontal="center" vertical="center" wrapText="1"/>
    </xf>
    <xf numFmtId="0" fontId="7" fillId="0" borderId="15" xfId="2" applyFont="1" applyBorder="1" applyAlignment="1" applyProtection="1">
      <alignment horizontal="center" vertical="center" wrapText="1"/>
    </xf>
    <xf numFmtId="0" fontId="7" fillId="0" borderId="14" xfId="2" applyFont="1" applyBorder="1" applyAlignment="1" applyProtection="1">
      <alignment horizontal="center" vertical="center" wrapText="1"/>
    </xf>
    <xf numFmtId="0" fontId="4" fillId="0" borderId="1" xfId="2" applyFont="1" applyBorder="1" applyAlignment="1" applyProtection="1">
      <alignment horizontal="center" vertical="center" wrapText="1"/>
    </xf>
    <xf numFmtId="0" fontId="4" fillId="0" borderId="2" xfId="2" applyFont="1" applyBorder="1" applyAlignment="1" applyProtection="1">
      <alignment horizontal="right" vertical="center" wrapText="1"/>
    </xf>
    <xf numFmtId="0" fontId="4" fillId="0" borderId="3" xfId="2" applyFont="1" applyBorder="1" applyAlignment="1" applyProtection="1">
      <alignment horizontal="right" vertical="center" wrapText="1"/>
    </xf>
    <xf numFmtId="0" fontId="1" fillId="0" borderId="2" xfId="2" applyFont="1" applyBorder="1" applyAlignment="1" applyProtection="1">
      <alignment horizontal="center" vertical="center" wrapText="1"/>
      <protection locked="0"/>
    </xf>
    <xf numFmtId="0" fontId="1" fillId="0" borderId="3" xfId="2" applyFont="1" applyBorder="1" applyAlignment="1" applyProtection="1">
      <alignment horizontal="center" vertical="center" wrapText="1"/>
      <protection locked="0"/>
    </xf>
    <xf numFmtId="0" fontId="1" fillId="0" borderId="4" xfId="2" applyFont="1" applyBorder="1" applyAlignment="1" applyProtection="1">
      <alignment horizontal="center" vertical="center" wrapText="1"/>
      <protection locked="0"/>
    </xf>
    <xf numFmtId="0" fontId="1" fillId="0" borderId="1" xfId="2" applyFont="1" applyBorder="1" applyAlignment="1" applyProtection="1">
      <alignment horizontal="center" vertical="center" wrapText="1"/>
      <protection locked="0"/>
    </xf>
    <xf numFmtId="0" fontId="13" fillId="0" borderId="0" xfId="2" applyFont="1" applyAlignment="1" applyProtection="1">
      <alignment horizontal="center" wrapText="1"/>
    </xf>
    <xf numFmtId="0" fontId="34" fillId="0" borderId="0" xfId="2" applyFont="1" applyAlignment="1" applyProtection="1">
      <alignment horizontal="center"/>
      <protection locked="0"/>
    </xf>
    <xf numFmtId="0" fontId="4" fillId="0" borderId="1" xfId="2" applyFont="1" applyBorder="1" applyAlignment="1" applyProtection="1">
      <alignment horizontal="right" vertical="center" wrapText="1"/>
    </xf>
    <xf numFmtId="0" fontId="12" fillId="0" borderId="0" xfId="2" applyFont="1" applyAlignment="1" applyProtection="1">
      <alignment horizontal="center" wrapText="1"/>
    </xf>
    <xf numFmtId="0" fontId="12" fillId="0" borderId="6" xfId="2" applyFont="1" applyBorder="1" applyAlignment="1" applyProtection="1">
      <alignment horizontal="center" wrapText="1"/>
    </xf>
    <xf numFmtId="166" fontId="1" fillId="0" borderId="2" xfId="2" applyNumberFormat="1" applyFont="1" applyBorder="1" applyAlignment="1" applyProtection="1">
      <alignment horizontal="left" vertical="center" wrapText="1"/>
    </xf>
    <xf numFmtId="166" fontId="1" fillId="0" borderId="3" xfId="2" applyNumberFormat="1" applyFont="1" applyBorder="1" applyAlignment="1" applyProtection="1">
      <alignment horizontal="left" vertical="center" wrapText="1"/>
    </xf>
    <xf numFmtId="166" fontId="1" fillId="0" borderId="4" xfId="2" applyNumberFormat="1" applyFont="1" applyBorder="1" applyAlignment="1" applyProtection="1">
      <alignment horizontal="left" vertical="center" wrapText="1"/>
    </xf>
    <xf numFmtId="0" fontId="4" fillId="0" borderId="7" xfId="2" applyFont="1" applyBorder="1" applyAlignment="1" applyProtection="1">
      <alignment horizontal="right" vertical="center" wrapText="1"/>
    </xf>
    <xf numFmtId="0" fontId="4" fillId="0" borderId="8" xfId="2" applyFont="1" applyBorder="1" applyAlignment="1" applyProtection="1">
      <alignment horizontal="right" vertical="center" wrapText="1"/>
    </xf>
    <xf numFmtId="0" fontId="1" fillId="0" borderId="2" xfId="2" applyFont="1" applyBorder="1" applyAlignment="1" applyProtection="1">
      <alignment horizontal="left" vertical="center" wrapText="1"/>
    </xf>
    <xf numFmtId="0" fontId="1" fillId="0" borderId="3" xfId="2" applyFont="1" applyBorder="1" applyAlignment="1" applyProtection="1">
      <alignment horizontal="left" vertical="center" wrapText="1"/>
    </xf>
    <xf numFmtId="0" fontId="1" fillId="0" borderId="4" xfId="2" applyFont="1" applyBorder="1" applyAlignment="1" applyProtection="1">
      <alignment horizontal="left" vertical="center" wrapText="1"/>
    </xf>
    <xf numFmtId="164" fontId="1" fillId="0" borderId="1" xfId="2" applyNumberFormat="1" applyFont="1" applyBorder="1" applyAlignment="1" applyProtection="1">
      <alignment horizontal="center" vertical="center" wrapText="1"/>
      <protection locked="0"/>
    </xf>
    <xf numFmtId="0" fontId="1" fillId="0" borderId="1" xfId="2" applyNumberFormat="1" applyFont="1" applyBorder="1" applyAlignment="1" applyProtection="1">
      <alignment horizontal="center" vertical="center" wrapText="1"/>
      <protection locked="0"/>
    </xf>
    <xf numFmtId="0" fontId="1" fillId="0" borderId="8" xfId="2" applyFont="1" applyBorder="1" applyAlignment="1" applyProtection="1">
      <alignment horizontal="center" vertical="top" wrapText="1"/>
    </xf>
    <xf numFmtId="0" fontId="1" fillId="0" borderId="9" xfId="2" applyFont="1" applyBorder="1" applyAlignment="1" applyProtection="1">
      <alignment horizontal="center" vertical="top" wrapText="1"/>
    </xf>
    <xf numFmtId="0" fontId="1" fillId="0" borderId="7" xfId="2" applyFont="1" applyBorder="1" applyAlignment="1" applyProtection="1">
      <alignment horizontal="center" vertical="top" wrapText="1"/>
      <protection locked="0"/>
    </xf>
    <xf numFmtId="0" fontId="1" fillId="0" borderId="8" xfId="2" applyFont="1" applyBorder="1" applyAlignment="1" applyProtection="1">
      <alignment horizontal="center" vertical="top" wrapText="1"/>
      <protection locked="0"/>
    </xf>
    <xf numFmtId="0" fontId="20" fillId="0" borderId="0" xfId="2" applyFont="1" applyBorder="1" applyAlignment="1" applyProtection="1">
      <alignment horizontal="center" vertical="top" wrapText="1"/>
    </xf>
    <xf numFmtId="0" fontId="20" fillId="0" borderId="6" xfId="2" applyFont="1" applyBorder="1" applyAlignment="1" applyProtection="1">
      <alignment horizontal="center" vertical="top" wrapText="1"/>
    </xf>
    <xf numFmtId="0" fontId="2" fillId="0" borderId="5" xfId="2" applyFont="1" applyBorder="1" applyAlignment="1" applyProtection="1">
      <alignment horizontal="center" vertical="center" wrapText="1"/>
    </xf>
    <xf numFmtId="0" fontId="2" fillId="0" borderId="6" xfId="2" applyFont="1" applyBorder="1" applyAlignment="1" applyProtection="1">
      <alignment horizontal="center" vertical="center" wrapText="1"/>
    </xf>
    <xf numFmtId="0" fontId="20" fillId="0" borderId="5" xfId="2" applyFont="1" applyBorder="1" applyAlignment="1" applyProtection="1">
      <alignment horizontal="center" vertical="top" wrapText="1"/>
    </xf>
    <xf numFmtId="0" fontId="4" fillId="0" borderId="12" xfId="2" applyFont="1" applyBorder="1" applyAlignment="1" applyProtection="1">
      <alignment horizontal="center" vertical="center" wrapText="1"/>
    </xf>
    <xf numFmtId="0" fontId="4" fillId="0" borderId="13" xfId="2" applyFont="1" applyBorder="1" applyAlignment="1" applyProtection="1">
      <alignment horizontal="center" vertical="center" wrapText="1"/>
    </xf>
    <xf numFmtId="0" fontId="4" fillId="0" borderId="2" xfId="2" applyFont="1" applyBorder="1" applyAlignment="1" applyProtection="1">
      <alignment horizontal="center" vertical="center" wrapText="1"/>
    </xf>
    <xf numFmtId="0" fontId="4" fillId="0" borderId="4" xfId="2" applyFont="1" applyBorder="1" applyAlignment="1" applyProtection="1">
      <alignment horizontal="center" vertical="center" wrapText="1"/>
    </xf>
    <xf numFmtId="165" fontId="1" fillId="0" borderId="1" xfId="2" applyNumberFormat="1" applyFont="1" applyBorder="1" applyAlignment="1" applyProtection="1">
      <alignment horizontal="center" vertical="center" wrapText="1"/>
      <protection locked="0"/>
    </xf>
    <xf numFmtId="0" fontId="7" fillId="0" borderId="11" xfId="2" applyFont="1" applyBorder="1" applyAlignment="1" applyProtection="1">
      <alignment horizontal="right" vertical="center" wrapText="1"/>
    </xf>
    <xf numFmtId="0" fontId="7" fillId="0" borderId="7" xfId="2" applyFont="1" applyBorder="1" applyAlignment="1" applyProtection="1">
      <alignment horizontal="right" vertical="center" wrapText="1"/>
    </xf>
    <xf numFmtId="0" fontId="4" fillId="0" borderId="12" xfId="2" applyFont="1" applyBorder="1" applyAlignment="1" applyProtection="1">
      <alignment horizontal="right" vertical="center" wrapText="1"/>
    </xf>
    <xf numFmtId="1" fontId="1" fillId="0" borderId="2" xfId="2" applyNumberFormat="1" applyFont="1" applyBorder="1" applyAlignment="1" applyProtection="1">
      <alignment horizontal="center" vertical="center" wrapText="1"/>
      <protection locked="0"/>
    </xf>
    <xf numFmtId="1" fontId="1" fillId="0" borderId="3" xfId="2" applyNumberFormat="1" applyFont="1" applyBorder="1" applyAlignment="1" applyProtection="1">
      <alignment horizontal="center" vertical="center" wrapText="1"/>
      <protection locked="0"/>
    </xf>
    <xf numFmtId="1" fontId="1" fillId="0" borderId="4" xfId="2" applyNumberFormat="1" applyFont="1" applyBorder="1" applyAlignment="1" applyProtection="1">
      <alignment horizontal="center" vertical="center" wrapText="1"/>
      <protection locked="0"/>
    </xf>
    <xf numFmtId="2" fontId="1" fillId="0" borderId="1" xfId="2" applyNumberFormat="1" applyFont="1" applyBorder="1" applyAlignment="1" applyProtection="1">
      <alignment horizontal="center" vertical="center" wrapText="1"/>
      <protection locked="0"/>
    </xf>
    <xf numFmtId="164" fontId="1" fillId="0" borderId="2" xfId="2" applyNumberFormat="1" applyFont="1" applyBorder="1" applyAlignment="1" applyProtection="1">
      <alignment horizontal="center" vertical="center" wrapText="1"/>
      <protection locked="0"/>
    </xf>
    <xf numFmtId="164" fontId="1" fillId="0" borderId="3" xfId="2" applyNumberFormat="1" applyFont="1" applyBorder="1" applyAlignment="1" applyProtection="1">
      <alignment horizontal="center" vertical="center" wrapText="1"/>
      <protection locked="0"/>
    </xf>
    <xf numFmtId="164" fontId="1" fillId="0" borderId="4" xfId="2" applyNumberFormat="1" applyFont="1" applyBorder="1" applyAlignment="1" applyProtection="1">
      <alignment horizontal="center" vertical="center" wrapText="1"/>
      <protection locked="0"/>
    </xf>
    <xf numFmtId="0" fontId="4" fillId="0" borderId="11" xfId="2" applyFont="1" applyBorder="1" applyAlignment="1" applyProtection="1">
      <alignment horizontal="center" vertical="center" textRotation="90" wrapText="1"/>
    </xf>
    <xf numFmtId="0" fontId="4" fillId="0" borderId="13" xfId="2" applyFont="1" applyBorder="1" applyAlignment="1" applyProtection="1">
      <alignment horizontal="center" vertical="center" textRotation="90" wrapText="1"/>
    </xf>
    <xf numFmtId="0" fontId="4" fillId="0" borderId="5" xfId="2" applyFont="1" applyBorder="1" applyAlignment="1" applyProtection="1">
      <alignment horizontal="center" vertical="center" textRotation="90" wrapText="1"/>
    </xf>
    <xf numFmtId="0" fontId="4" fillId="0" borderId="6" xfId="2" applyFont="1" applyBorder="1" applyAlignment="1" applyProtection="1">
      <alignment horizontal="center" vertical="center" textRotation="90" wrapText="1"/>
    </xf>
    <xf numFmtId="0" fontId="4" fillId="0" borderId="7" xfId="2" applyFont="1" applyBorder="1" applyAlignment="1" applyProtection="1">
      <alignment horizontal="center" vertical="center" textRotation="90" wrapText="1"/>
    </xf>
    <xf numFmtId="0" fontId="4" fillId="0" borderId="9" xfId="2" applyFont="1" applyBorder="1" applyAlignment="1" applyProtection="1">
      <alignment horizontal="center" vertical="center" textRotation="90" wrapText="1"/>
    </xf>
    <xf numFmtId="0" fontId="1" fillId="0" borderId="2" xfId="2" applyFont="1" applyBorder="1" applyAlignment="1" applyProtection="1">
      <alignment horizontal="center" vertical="center" wrapText="1"/>
    </xf>
    <xf numFmtId="0" fontId="1" fillId="0" borderId="4" xfId="2" applyFont="1" applyBorder="1" applyAlignment="1" applyProtection="1">
      <alignment horizontal="center" vertical="center" wrapText="1"/>
    </xf>
    <xf numFmtId="0" fontId="4" fillId="0" borderId="11" xfId="2" applyFont="1" applyBorder="1" applyAlignment="1" applyProtection="1">
      <alignment horizontal="center" vertical="center" wrapText="1"/>
    </xf>
    <xf numFmtId="0" fontId="18" fillId="0" borderId="12" xfId="2" applyFont="1" applyBorder="1" applyAlignment="1" applyProtection="1">
      <alignment horizontal="left" wrapText="1"/>
    </xf>
    <xf numFmtId="0" fontId="18" fillId="0" borderId="12" xfId="2" applyFont="1" applyBorder="1" applyAlignment="1" applyProtection="1">
      <alignment horizontal="center" wrapText="1"/>
    </xf>
    <xf numFmtId="0" fontId="18" fillId="0" borderId="12" xfId="2" applyFont="1" applyBorder="1" applyAlignment="1" applyProtection="1">
      <alignment horizontal="right" wrapText="1"/>
    </xf>
    <xf numFmtId="0" fontId="23" fillId="0" borderId="0" xfId="2" applyFont="1" applyBorder="1" applyAlignment="1" applyProtection="1">
      <alignment horizontal="center" vertical="top" wrapText="1"/>
    </xf>
    <xf numFmtId="0" fontId="4" fillId="0" borderId="10" xfId="2" applyFont="1" applyBorder="1" applyAlignment="1" applyProtection="1">
      <alignment horizontal="center" vertical="center" textRotation="90" wrapText="1"/>
    </xf>
    <xf numFmtId="0" fontId="4" fillId="0" borderId="15" xfId="2" applyFont="1" applyBorder="1" applyAlignment="1" applyProtection="1">
      <alignment horizontal="center" vertical="center" textRotation="90" wrapText="1"/>
    </xf>
    <xf numFmtId="0" fontId="4" fillId="0" borderId="14" xfId="2" applyFont="1" applyBorder="1" applyAlignment="1" applyProtection="1">
      <alignment horizontal="center" vertical="center" textRotation="90" wrapText="1"/>
    </xf>
    <xf numFmtId="0" fontId="26" fillId="0" borderId="2" xfId="2" applyFont="1" applyBorder="1" applyAlignment="1" applyProtection="1">
      <alignment horizontal="center" vertical="center" wrapText="1"/>
    </xf>
    <xf numFmtId="0" fontId="26" fillId="0" borderId="3" xfId="2" applyFont="1" applyBorder="1" applyAlignment="1" applyProtection="1">
      <alignment horizontal="center" vertical="center" wrapText="1"/>
    </xf>
    <xf numFmtId="0" fontId="5" fillId="0" borderId="2" xfId="2" applyFont="1" applyBorder="1" applyAlignment="1" applyProtection="1">
      <alignment horizontal="left" vertical="center" wrapText="1"/>
      <protection locked="0"/>
    </xf>
    <xf numFmtId="0" fontId="5" fillId="0" borderId="3" xfId="2" applyFont="1" applyBorder="1" applyAlignment="1" applyProtection="1">
      <alignment horizontal="left" vertical="center" wrapText="1"/>
      <protection locked="0"/>
    </xf>
    <xf numFmtId="0" fontId="5" fillId="0" borderId="4" xfId="2" applyFont="1" applyBorder="1" applyAlignment="1" applyProtection="1">
      <alignment horizontal="left" vertical="center" wrapText="1"/>
      <protection locked="0"/>
    </xf>
    <xf numFmtId="164" fontId="36" fillId="0" borderId="2" xfId="2" applyNumberFormat="1" applyFont="1" applyBorder="1" applyAlignment="1" applyProtection="1">
      <alignment horizontal="center" vertical="center" wrapText="1"/>
      <protection locked="0"/>
    </xf>
    <xf numFmtId="164" fontId="36" fillId="0" borderId="3" xfId="2" applyNumberFormat="1" applyFont="1" applyBorder="1" applyAlignment="1" applyProtection="1">
      <alignment horizontal="center" vertical="center" wrapText="1"/>
      <protection locked="0"/>
    </xf>
    <xf numFmtId="164" fontId="36" fillId="0" borderId="4" xfId="2" applyNumberFormat="1" applyFont="1" applyBorder="1" applyAlignment="1" applyProtection="1">
      <alignment horizontal="center" vertical="center" wrapText="1"/>
      <protection locked="0"/>
    </xf>
    <xf numFmtId="165" fontId="1" fillId="0" borderId="11" xfId="2" applyNumberFormat="1" applyFont="1" applyBorder="1" applyAlignment="1" applyProtection="1">
      <alignment horizontal="center" vertical="center" wrapText="1"/>
      <protection locked="0"/>
    </xf>
    <xf numFmtId="165" fontId="1" fillId="0" borderId="12" xfId="2" applyNumberFormat="1" applyFont="1" applyBorder="1" applyAlignment="1" applyProtection="1">
      <alignment horizontal="center" vertical="center" wrapText="1"/>
      <protection locked="0"/>
    </xf>
    <xf numFmtId="165" fontId="1" fillId="0" borderId="13" xfId="2" applyNumberFormat="1" applyFont="1" applyBorder="1" applyAlignment="1" applyProtection="1">
      <alignment horizontal="center" vertical="center" wrapText="1"/>
      <protection locked="0"/>
    </xf>
    <xf numFmtId="1" fontId="36" fillId="0" borderId="2" xfId="2" applyNumberFormat="1" applyFont="1" applyBorder="1" applyAlignment="1" applyProtection="1">
      <alignment horizontal="center" vertical="center" wrapText="1"/>
      <protection locked="0"/>
    </xf>
    <xf numFmtId="1" fontId="36" fillId="0" borderId="3" xfId="2" applyNumberFormat="1" applyFont="1" applyBorder="1" applyAlignment="1" applyProtection="1">
      <alignment horizontal="center" vertical="center" wrapText="1"/>
      <protection locked="0"/>
    </xf>
    <xf numFmtId="1" fontId="36" fillId="0" borderId="4" xfId="2" applyNumberFormat="1" applyFont="1" applyBorder="1" applyAlignment="1" applyProtection="1">
      <alignment horizontal="center" vertical="center" wrapText="1"/>
      <protection locked="0"/>
    </xf>
    <xf numFmtId="0" fontId="4" fillId="0" borderId="1" xfId="2" applyFont="1" applyBorder="1" applyAlignment="1" applyProtection="1">
      <alignment horizontal="center" textRotation="90" wrapText="1"/>
    </xf>
    <xf numFmtId="0" fontId="4" fillId="0" borderId="1" xfId="2" applyFont="1" applyBorder="1" applyAlignment="1" applyProtection="1">
      <alignment horizontal="center" vertical="center" textRotation="90" wrapText="1"/>
    </xf>
    <xf numFmtId="0" fontId="4" fillId="0" borderId="4" xfId="2" applyFont="1" applyBorder="1" applyAlignment="1" applyProtection="1">
      <alignment horizontal="right" vertical="center" wrapText="1"/>
    </xf>
    <xf numFmtId="49" fontId="20" fillId="0" borderId="7" xfId="2" applyNumberFormat="1" applyFont="1" applyBorder="1" applyAlignment="1" applyProtection="1">
      <alignment horizontal="center" vertical="center" wrapText="1"/>
      <protection locked="0"/>
    </xf>
    <xf numFmtId="49" fontId="20" fillId="0" borderId="8" xfId="2" applyNumberFormat="1" applyFont="1" applyBorder="1" applyAlignment="1" applyProtection="1">
      <alignment horizontal="center" vertical="center" wrapText="1"/>
      <protection locked="0"/>
    </xf>
    <xf numFmtId="49" fontId="20" fillId="0" borderId="9" xfId="2" applyNumberFormat="1" applyFont="1" applyBorder="1" applyAlignment="1" applyProtection="1">
      <alignment horizontal="center" vertical="center" wrapText="1"/>
      <protection locked="0"/>
    </xf>
    <xf numFmtId="0" fontId="36" fillId="0" borderId="2" xfId="2" applyFont="1" applyBorder="1" applyAlignment="1" applyProtection="1">
      <alignment horizontal="center" vertical="center" wrapText="1"/>
    </xf>
    <xf numFmtId="0" fontId="36" fillId="0" borderId="4" xfId="2" applyFont="1" applyBorder="1" applyAlignment="1" applyProtection="1">
      <alignment horizontal="center" vertical="center" wrapText="1"/>
    </xf>
    <xf numFmtId="0" fontId="4" fillId="0" borderId="2" xfId="2" applyFont="1" applyBorder="1" applyAlignment="1" applyProtection="1">
      <alignment horizontal="right" vertical="center"/>
    </xf>
    <xf numFmtId="0" fontId="4" fillId="0" borderId="3" xfId="2" applyFont="1" applyBorder="1" applyAlignment="1" applyProtection="1">
      <alignment horizontal="right" vertical="center"/>
    </xf>
    <xf numFmtId="0" fontId="26" fillId="0" borderId="2" xfId="2" applyFont="1" applyBorder="1" applyAlignment="1" applyProtection="1">
      <alignment horizontal="left" vertical="center" wrapText="1"/>
    </xf>
    <xf numFmtId="0" fontId="26" fillId="0" borderId="3" xfId="2" applyFont="1" applyBorder="1" applyAlignment="1" applyProtection="1">
      <alignment horizontal="left" vertical="center" wrapText="1"/>
    </xf>
    <xf numFmtId="0" fontId="36" fillId="0" borderId="2" xfId="2" applyFont="1" applyBorder="1" applyAlignment="1" applyProtection="1">
      <alignment horizontal="right" vertical="center" wrapText="1"/>
    </xf>
    <xf numFmtId="0" fontId="35" fillId="0" borderId="1" xfId="2" applyFont="1" applyBorder="1" applyAlignment="1" applyProtection="1">
      <alignment horizontal="right" vertical="center" wrapText="1"/>
    </xf>
    <xf numFmtId="0" fontId="36" fillId="0" borderId="1" xfId="2" applyFont="1" applyBorder="1" applyAlignment="1" applyProtection="1">
      <alignment horizontal="right" vertical="center" wrapText="1"/>
    </xf>
    <xf numFmtId="0" fontId="1" fillId="0" borderId="8" xfId="2" applyFont="1" applyBorder="1" applyAlignment="1" applyProtection="1">
      <alignment vertical="top" wrapText="1"/>
    </xf>
    <xf numFmtId="0" fontId="2" fillId="0" borderId="5" xfId="2" applyFont="1" applyBorder="1" applyAlignment="1" applyProtection="1">
      <alignment vertical="center" wrapText="1"/>
    </xf>
    <xf numFmtId="0" fontId="2" fillId="0" borderId="6" xfId="2" applyFont="1" applyBorder="1" applyAlignment="1" applyProtection="1">
      <alignment vertical="center" wrapText="1"/>
    </xf>
    <xf numFmtId="0" fontId="1" fillId="0" borderId="1" xfId="2" applyFont="1" applyBorder="1" applyAlignment="1" applyProtection="1">
      <alignment horizontal="right" wrapText="1"/>
    </xf>
    <xf numFmtId="0" fontId="20" fillId="0" borderId="1" xfId="2" applyFont="1" applyBorder="1" applyAlignment="1" applyProtection="1">
      <alignment horizontal="right" vertical="center" wrapText="1"/>
    </xf>
    <xf numFmtId="0" fontId="1" fillId="0" borderId="2" xfId="2" applyFont="1" applyBorder="1" applyAlignment="1" applyProtection="1">
      <alignment horizontal="right" vertical="center" wrapText="1"/>
    </xf>
    <xf numFmtId="0" fontId="13" fillId="0" borderId="14" xfId="2" applyFont="1" applyBorder="1" applyAlignment="1" applyProtection="1">
      <alignment horizontal="center" vertical="center" wrapText="1"/>
      <protection locked="0"/>
    </xf>
  </cellXfs>
  <cellStyles count="4">
    <cellStyle name="Normal" xfId="0" builtinId="0"/>
    <cellStyle name="Normal 2" xfId="1" xr:uid="{00000000-0005-0000-0000-000001000000}"/>
    <cellStyle name="Normal 2 2" xfId="3" xr:uid="{00000000-0005-0000-0000-000002000000}"/>
    <cellStyle name="Normal 3" xfId="2" xr:uid="{00000000-0005-0000-0000-000003000000}"/>
  </cellStyles>
  <dxfs count="0"/>
  <tableStyles count="0" defaultTableStyle="TableStyleMedium2" defaultPivotStyle="PivotStyleLight16"/>
  <colors>
    <mruColors>
      <color rgb="FF66FF66"/>
      <color rgb="FF99FF99"/>
      <color rgb="FFFF99CC"/>
      <color rgb="FFFF66FF"/>
      <color rgb="FFFFCCFF"/>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0</xdr:col>
      <xdr:colOff>76614</xdr:colOff>
      <xdr:row>0</xdr:row>
      <xdr:rowOff>38515</xdr:rowOff>
    </xdr:from>
    <xdr:to>
      <xdr:col>2</xdr:col>
      <xdr:colOff>327163</xdr:colOff>
      <xdr:row>0</xdr:row>
      <xdr:rowOff>987287</xdr:rowOff>
    </xdr:to>
    <xdr:pic>
      <xdr:nvPicPr>
        <xdr:cNvPr id="6" name="Resim 5">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614" y="38515"/>
          <a:ext cx="863462" cy="948772"/>
        </a:xfrm>
        <a:prstGeom prst="rect">
          <a:avLst/>
        </a:prstGeom>
      </xdr:spPr>
    </xdr:pic>
    <xdr:clientData/>
  </xdr:twoCellAnchor>
  <xdr:twoCellAnchor editAs="oneCell">
    <xdr:from>
      <xdr:col>11</xdr:col>
      <xdr:colOff>15324</xdr:colOff>
      <xdr:row>0</xdr:row>
      <xdr:rowOff>39757</xdr:rowOff>
    </xdr:from>
    <xdr:to>
      <xdr:col>12</xdr:col>
      <xdr:colOff>1227</xdr:colOff>
      <xdr:row>0</xdr:row>
      <xdr:rowOff>1082173</xdr:rowOff>
    </xdr:to>
    <xdr:pic>
      <xdr:nvPicPr>
        <xdr:cNvPr id="3" name="Resi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06574" y="39757"/>
          <a:ext cx="738378" cy="104241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605118</xdr:colOff>
      <xdr:row>39</xdr:row>
      <xdr:rowOff>87967</xdr:rowOff>
    </xdr:from>
    <xdr:to>
      <xdr:col>1</xdr:col>
      <xdr:colOff>963706</xdr:colOff>
      <xdr:row>39</xdr:row>
      <xdr:rowOff>694765</xdr:rowOff>
    </xdr:to>
    <xdr:sp macro="[0]!mainArme" textlink="">
      <xdr:nvSpPr>
        <xdr:cNvPr id="2" name="Rectangle 1">
          <a:extLst>
            <a:ext uri="{FF2B5EF4-FFF2-40B4-BE49-F238E27FC236}">
              <a16:creationId xmlns:a16="http://schemas.microsoft.com/office/drawing/2014/main" id="{00000000-0008-0000-0200-000002000000}"/>
            </a:ext>
          </a:extLst>
        </xdr:cNvPr>
        <xdr:cNvSpPr/>
      </xdr:nvSpPr>
      <xdr:spPr>
        <a:xfrm>
          <a:off x="605118" y="7898467"/>
          <a:ext cx="1423147" cy="6067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r"/>
          <a:r>
            <a:rPr lang="tr-TR" sz="900" b="1">
              <a:solidFill>
                <a:sysClr val="windowText" lastClr="000000"/>
              </a:solidFill>
            </a:rPr>
            <a:t>AÇIKLAMALAR (*)</a:t>
          </a:r>
          <a:endParaRPr lang="tr-TR" sz="1400" b="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549088</xdr:colOff>
      <xdr:row>42</xdr:row>
      <xdr:rowOff>54350</xdr:rowOff>
    </xdr:from>
    <xdr:to>
      <xdr:col>1</xdr:col>
      <xdr:colOff>907677</xdr:colOff>
      <xdr:row>42</xdr:row>
      <xdr:rowOff>930088</xdr:rowOff>
    </xdr:to>
    <xdr:sp macro="[0]!mainDolgu" textlink="">
      <xdr:nvSpPr>
        <xdr:cNvPr id="2" name="Rectangle 1">
          <a:extLst>
            <a:ext uri="{FF2B5EF4-FFF2-40B4-BE49-F238E27FC236}">
              <a16:creationId xmlns:a16="http://schemas.microsoft.com/office/drawing/2014/main" id="{00000000-0008-0000-0100-000002000000}"/>
            </a:ext>
          </a:extLst>
        </xdr:cNvPr>
        <xdr:cNvSpPr/>
      </xdr:nvSpPr>
      <xdr:spPr>
        <a:xfrm>
          <a:off x="549088" y="8481174"/>
          <a:ext cx="1411942" cy="87573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r"/>
          <a:r>
            <a:rPr lang="tr-TR" sz="900" b="1">
              <a:solidFill>
                <a:sysClr val="windowText" lastClr="000000"/>
              </a:solidFill>
            </a:rPr>
            <a:t>AÇIKLAMALAR (*)</a:t>
          </a:r>
          <a:endParaRPr lang="tr-TR" sz="1400" b="1">
            <a:solidFill>
              <a:sysClr val="windowText" lastClr="000000"/>
            </a:solidFill>
          </a:endParaRPr>
        </a:p>
      </xdr:txBody>
    </xdr:sp>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Kapak">
    <tabColor theme="6" tint="-0.499984740745262"/>
    <pageSetUpPr fitToPage="1"/>
  </sheetPr>
  <dimension ref="A1:M21"/>
  <sheetViews>
    <sheetView tabSelected="1" zoomScaleNormal="100" zoomScaleSheetLayoutView="115" workbookViewId="0">
      <selection activeCell="I18" sqref="I18:M20"/>
    </sheetView>
  </sheetViews>
  <sheetFormatPr defaultColWidth="7.42578125" defaultRowHeight="14.25" x14ac:dyDescent="0.2"/>
  <cols>
    <col min="1" max="1" width="1.28515625" style="1" customWidth="1"/>
    <col min="2" max="3" width="8" style="1" customWidth="1"/>
    <col min="4" max="7" width="9" style="8" customWidth="1"/>
    <col min="8" max="8" width="9" style="1" customWidth="1"/>
    <col min="9" max="11" width="8" style="1" customWidth="1"/>
    <col min="12" max="12" width="10" style="1" customWidth="1"/>
    <col min="13" max="13" width="1.28515625" style="1" customWidth="1"/>
    <col min="14" max="16384" width="7.42578125" style="1"/>
  </cols>
  <sheetData>
    <row r="1" spans="1:13" ht="88.5" customHeight="1" x14ac:dyDescent="0.2">
      <c r="A1" s="11"/>
      <c r="B1" s="35"/>
      <c r="C1" s="68" t="s">
        <v>24</v>
      </c>
      <c r="D1" s="68"/>
      <c r="E1" s="68"/>
      <c r="F1" s="68"/>
      <c r="G1" s="68"/>
      <c r="H1" s="68"/>
      <c r="I1" s="68"/>
      <c r="J1" s="68"/>
      <c r="K1" s="68"/>
      <c r="L1" s="18"/>
      <c r="M1" s="19"/>
    </row>
    <row r="2" spans="1:13" ht="22.5" customHeight="1" x14ac:dyDescent="0.2">
      <c r="A2" s="7"/>
      <c r="B2" s="17"/>
      <c r="C2" s="69"/>
      <c r="D2" s="69"/>
      <c r="E2" s="69"/>
      <c r="F2" s="69"/>
      <c r="G2" s="69"/>
      <c r="H2" s="69"/>
      <c r="I2" s="69"/>
      <c r="J2" s="69"/>
      <c r="K2" s="69"/>
      <c r="L2" s="9" t="s">
        <v>0</v>
      </c>
      <c r="M2" s="20"/>
    </row>
    <row r="3" spans="1:13" ht="11.25" customHeight="1" x14ac:dyDescent="0.2">
      <c r="A3" s="7"/>
      <c r="B3" s="17"/>
      <c r="C3" s="69"/>
      <c r="D3" s="69"/>
      <c r="E3" s="69"/>
      <c r="F3" s="69"/>
      <c r="G3" s="69"/>
      <c r="H3" s="69"/>
      <c r="I3" s="69"/>
      <c r="J3" s="69"/>
      <c r="K3" s="69"/>
      <c r="L3" s="24"/>
      <c r="M3" s="21"/>
    </row>
    <row r="4" spans="1:13" ht="11.25" customHeight="1" x14ac:dyDescent="0.2">
      <c r="A4" s="7"/>
      <c r="B4" s="17"/>
      <c r="C4" s="69"/>
      <c r="D4" s="69"/>
      <c r="E4" s="69"/>
      <c r="F4" s="69"/>
      <c r="G4" s="69"/>
      <c r="H4" s="69"/>
      <c r="I4" s="69"/>
      <c r="J4" s="69"/>
      <c r="K4" s="69"/>
      <c r="L4" s="201"/>
      <c r="M4" s="20"/>
    </row>
    <row r="5" spans="1:13" ht="22.5" customHeight="1" x14ac:dyDescent="0.2">
      <c r="A5" s="7"/>
      <c r="B5" s="17"/>
      <c r="C5" s="69"/>
      <c r="D5" s="69"/>
      <c r="E5" s="69"/>
      <c r="F5" s="69"/>
      <c r="G5" s="69"/>
      <c r="H5" s="69"/>
      <c r="I5" s="69"/>
      <c r="J5" s="69"/>
      <c r="K5" s="69"/>
      <c r="L5" s="25"/>
      <c r="M5" s="22"/>
    </row>
    <row r="6" spans="1:13" ht="5.25" customHeight="1" x14ac:dyDescent="0.2">
      <c r="A6" s="36"/>
      <c r="B6" s="37"/>
      <c r="C6" s="37"/>
      <c r="D6" s="38"/>
      <c r="E6" s="38"/>
      <c r="F6" s="38"/>
      <c r="G6" s="38"/>
      <c r="H6" s="38"/>
      <c r="I6" s="38"/>
      <c r="J6" s="37"/>
      <c r="K6" s="39"/>
      <c r="L6" s="40"/>
      <c r="M6" s="41"/>
    </row>
    <row r="7" spans="1:13" ht="38.25" customHeight="1" x14ac:dyDescent="0.2">
      <c r="A7" s="11"/>
      <c r="B7" s="72" t="s">
        <v>54</v>
      </c>
      <c r="C7" s="72"/>
      <c r="D7" s="72"/>
      <c r="E7" s="90"/>
      <c r="F7" s="90"/>
      <c r="G7" s="90"/>
      <c r="H7" s="90"/>
      <c r="I7" s="90"/>
      <c r="J7" s="90"/>
      <c r="K7" s="90"/>
      <c r="L7" s="90"/>
      <c r="M7" s="13"/>
    </row>
    <row r="8" spans="1:13" ht="30" customHeight="1" x14ac:dyDescent="0.2">
      <c r="A8" s="6"/>
      <c r="B8" s="71" t="s">
        <v>55</v>
      </c>
      <c r="C8" s="71"/>
      <c r="D8" s="71"/>
      <c r="E8" s="84"/>
      <c r="F8" s="88"/>
      <c r="G8" s="88"/>
      <c r="H8" s="88"/>
      <c r="I8" s="88"/>
      <c r="J8" s="88"/>
      <c r="K8" s="88"/>
      <c r="L8" s="88"/>
      <c r="M8" s="12"/>
    </row>
    <row r="9" spans="1:13" ht="37.5" customHeight="1" x14ac:dyDescent="0.2">
      <c r="A9" s="6"/>
      <c r="B9" s="71" t="s">
        <v>56</v>
      </c>
      <c r="C9" s="71"/>
      <c r="D9" s="71"/>
      <c r="E9" s="88"/>
      <c r="F9" s="88"/>
      <c r="G9" s="88"/>
      <c r="H9" s="88"/>
      <c r="I9" s="88"/>
      <c r="J9" s="88"/>
      <c r="K9" s="88"/>
      <c r="L9" s="88"/>
      <c r="M9" s="12"/>
    </row>
    <row r="10" spans="1:13" ht="41.25" customHeight="1" x14ac:dyDescent="0.2">
      <c r="A10" s="6"/>
      <c r="B10" s="71" t="s">
        <v>57</v>
      </c>
      <c r="C10" s="71"/>
      <c r="D10" s="71"/>
      <c r="E10" s="84"/>
      <c r="F10" s="88"/>
      <c r="G10" s="88"/>
      <c r="H10" s="88"/>
      <c r="I10" s="88"/>
      <c r="J10" s="88"/>
      <c r="K10" s="88"/>
      <c r="L10" s="88"/>
      <c r="M10" s="15"/>
    </row>
    <row r="11" spans="1:13" ht="54" customHeight="1" x14ac:dyDescent="0.2">
      <c r="A11" s="6"/>
      <c r="B11" s="71" t="s">
        <v>58</v>
      </c>
      <c r="C11" s="71"/>
      <c r="D11" s="71"/>
      <c r="E11" s="88"/>
      <c r="F11" s="88"/>
      <c r="G11" s="88"/>
      <c r="H11" s="88"/>
      <c r="I11" s="88"/>
      <c r="J11" s="88"/>
      <c r="K11" s="88"/>
      <c r="L11" s="88"/>
      <c r="M11" s="12"/>
    </row>
    <row r="12" spans="1:13" ht="26.25" customHeight="1" x14ac:dyDescent="0.2">
      <c r="A12" s="6"/>
      <c r="B12" s="71" t="s">
        <v>59</v>
      </c>
      <c r="C12" s="71"/>
      <c r="D12" s="71"/>
      <c r="E12" s="84"/>
      <c r="F12" s="84"/>
      <c r="G12" s="84"/>
      <c r="H12" s="84"/>
      <c r="I12" s="84"/>
      <c r="J12" s="84"/>
      <c r="K12" s="84"/>
      <c r="L12" s="84"/>
      <c r="M12" s="15"/>
    </row>
    <row r="13" spans="1:13" ht="39.75" customHeight="1" x14ac:dyDescent="0.2">
      <c r="A13" s="6"/>
      <c r="B13" s="71" t="s">
        <v>53</v>
      </c>
      <c r="C13" s="71"/>
      <c r="D13" s="71"/>
      <c r="E13" s="89" t="s">
        <v>49</v>
      </c>
      <c r="F13" s="89"/>
      <c r="G13" s="89"/>
      <c r="H13" s="89"/>
      <c r="I13" s="89"/>
      <c r="J13" s="89"/>
      <c r="K13" s="89"/>
      <c r="L13" s="89"/>
      <c r="M13" s="15"/>
    </row>
    <row r="14" spans="1:13" ht="40.5" customHeight="1" x14ac:dyDescent="0.2">
      <c r="A14" s="27"/>
      <c r="B14" s="71" t="s">
        <v>60</v>
      </c>
      <c r="C14" s="71"/>
      <c r="D14" s="71"/>
      <c r="E14" s="91"/>
      <c r="F14" s="91"/>
      <c r="G14" s="91"/>
      <c r="H14" s="91"/>
      <c r="I14" s="91"/>
      <c r="J14" s="91"/>
      <c r="K14" s="91"/>
      <c r="L14" s="91"/>
      <c r="M14" s="29"/>
    </row>
    <row r="15" spans="1:13" ht="170.25" customHeight="1" x14ac:dyDescent="0.2">
      <c r="A15" s="28"/>
      <c r="B15" s="83" t="s">
        <v>50</v>
      </c>
      <c r="C15" s="83"/>
      <c r="D15" s="83"/>
      <c r="E15" s="83"/>
      <c r="F15" s="83"/>
      <c r="G15" s="83"/>
      <c r="H15" s="83"/>
      <c r="I15" s="83"/>
      <c r="J15" s="83"/>
      <c r="K15" s="83"/>
      <c r="L15" s="83"/>
      <c r="M15" s="26"/>
    </row>
    <row r="16" spans="1:13" s="3" customFormat="1" x14ac:dyDescent="0.2">
      <c r="A16" s="11"/>
      <c r="B16" s="74" t="s">
        <v>25</v>
      </c>
      <c r="C16" s="74"/>
      <c r="D16" s="73" t="s">
        <v>61</v>
      </c>
      <c r="E16" s="74"/>
      <c r="F16" s="74"/>
      <c r="G16" s="74"/>
      <c r="H16" s="74"/>
      <c r="I16" s="73" t="s">
        <v>62</v>
      </c>
      <c r="J16" s="73"/>
      <c r="K16" s="73"/>
      <c r="L16" s="73"/>
      <c r="M16" s="78"/>
    </row>
    <row r="17" spans="1:13" x14ac:dyDescent="0.2">
      <c r="A17" s="6"/>
      <c r="B17" s="75"/>
      <c r="C17" s="75"/>
      <c r="D17" s="75"/>
      <c r="E17" s="75"/>
      <c r="F17" s="75"/>
      <c r="G17" s="75"/>
      <c r="H17" s="75"/>
      <c r="I17" s="79"/>
      <c r="J17" s="79"/>
      <c r="K17" s="79"/>
      <c r="L17" s="79"/>
      <c r="M17" s="80"/>
    </row>
    <row r="18" spans="1:13" ht="34.5" customHeight="1" x14ac:dyDescent="0.2">
      <c r="A18" s="6"/>
      <c r="B18" s="85">
        <f>L5</f>
        <v>0</v>
      </c>
      <c r="C18" s="86"/>
      <c r="D18" s="76" t="s">
        <v>23</v>
      </c>
      <c r="E18" s="76"/>
      <c r="F18" s="76"/>
      <c r="G18" s="76"/>
      <c r="H18" s="76"/>
      <c r="I18" s="76" t="s">
        <v>22</v>
      </c>
      <c r="J18" s="76"/>
      <c r="K18" s="76"/>
      <c r="L18" s="76"/>
      <c r="M18" s="81"/>
    </row>
    <row r="19" spans="1:13" ht="14.25" customHeight="1" x14ac:dyDescent="0.2">
      <c r="A19" s="6"/>
      <c r="B19" s="86"/>
      <c r="C19" s="86"/>
      <c r="D19" s="76"/>
      <c r="E19" s="76"/>
      <c r="F19" s="76"/>
      <c r="G19" s="76"/>
      <c r="H19" s="76"/>
      <c r="I19" s="76"/>
      <c r="J19" s="76"/>
      <c r="K19" s="76"/>
      <c r="L19" s="76"/>
      <c r="M19" s="81"/>
    </row>
    <row r="20" spans="1:13" ht="39.75" customHeight="1" x14ac:dyDescent="0.2">
      <c r="A20" s="27"/>
      <c r="B20" s="87"/>
      <c r="C20" s="87"/>
      <c r="D20" s="77"/>
      <c r="E20" s="77"/>
      <c r="F20" s="77"/>
      <c r="G20" s="77"/>
      <c r="H20" s="77"/>
      <c r="I20" s="77"/>
      <c r="J20" s="77"/>
      <c r="K20" s="77"/>
      <c r="L20" s="77"/>
      <c r="M20" s="82"/>
    </row>
    <row r="21" spans="1:13" ht="64.5" customHeight="1" x14ac:dyDescent="0.2">
      <c r="B21" s="70" t="s">
        <v>51</v>
      </c>
      <c r="C21" s="70"/>
      <c r="D21" s="70"/>
      <c r="E21" s="70"/>
      <c r="F21" s="70"/>
      <c r="G21" s="70"/>
      <c r="H21" s="70"/>
      <c r="I21" s="70"/>
      <c r="J21" s="70"/>
      <c r="K21" s="70"/>
      <c r="L21" s="70"/>
      <c r="M21" s="23"/>
    </row>
  </sheetData>
  <sheetProtection algorithmName="SHA-512" hashValue="90lv0B/N1aRaCWv1p6OaMkaGxG/uWAV2HZMP+9+iTzm+5xjxs8Z3VSrZtcUXTlzz5bRt5FEkN7TuXI+zXbjDng==" saltValue="01lMYys9cmRRu1kxQuxYiw==" spinCount="100000" sheet="1" objects="1" scenarios="1"/>
  <mergeCells count="25">
    <mergeCell ref="B18:C20"/>
    <mergeCell ref="E11:L11"/>
    <mergeCell ref="E13:L13"/>
    <mergeCell ref="E8:L8"/>
    <mergeCell ref="E7:L7"/>
    <mergeCell ref="E9:L9"/>
    <mergeCell ref="E10:L10"/>
    <mergeCell ref="B14:D14"/>
    <mergeCell ref="E14:L14"/>
    <mergeCell ref="C1:K5"/>
    <mergeCell ref="B21:L21"/>
    <mergeCell ref="B13:D13"/>
    <mergeCell ref="B7:D7"/>
    <mergeCell ref="B8:D8"/>
    <mergeCell ref="B9:D9"/>
    <mergeCell ref="B10:D10"/>
    <mergeCell ref="B11:D11"/>
    <mergeCell ref="D16:H17"/>
    <mergeCell ref="D18:H20"/>
    <mergeCell ref="I16:M17"/>
    <mergeCell ref="I18:M20"/>
    <mergeCell ref="B15:L15"/>
    <mergeCell ref="B16:C17"/>
    <mergeCell ref="B12:D12"/>
    <mergeCell ref="E12:L12"/>
  </mergeCells>
  <printOptions horizontalCentered="1" verticalCentered="1"/>
  <pageMargins left="0.19685039370078741" right="0.19685039370078741" top="0.19685039370078741" bottom="0.19685039370078741" header="0" footer="0"/>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Arme">
    <tabColor theme="9" tint="-0.249977111117893"/>
    <pageSetUpPr fitToPage="1"/>
  </sheetPr>
  <dimension ref="A1:AL66"/>
  <sheetViews>
    <sheetView topLeftCell="A16" zoomScale="85" zoomScaleNormal="85" zoomScaleSheetLayoutView="100" workbookViewId="0">
      <selection activeCell="A44" sqref="A44:G44"/>
    </sheetView>
  </sheetViews>
  <sheetFormatPr defaultColWidth="3.140625" defaultRowHeight="0" customHeight="1" zeroHeight="1" x14ac:dyDescent="0.2"/>
  <cols>
    <col min="1" max="1" width="16" style="2" customWidth="1"/>
    <col min="2" max="2" width="16.42578125" style="2" customWidth="1"/>
    <col min="3" max="14" width="4.7109375" style="5" customWidth="1"/>
    <col min="15" max="34" width="4.7109375" style="5" hidden="1" customWidth="1"/>
    <col min="35" max="35" width="4.5703125" style="5" hidden="1" customWidth="1"/>
    <col min="36" max="37" width="6" style="2" customWidth="1"/>
    <col min="38" max="38" width="10.85546875" style="2" customWidth="1"/>
    <col min="39" max="16384" width="3.140625" style="2"/>
  </cols>
  <sheetData>
    <row r="1" spans="1:38" ht="22.5" customHeight="1" x14ac:dyDescent="0.2">
      <c r="A1" s="112">
        <v>2</v>
      </c>
      <c r="B1" s="114" t="s">
        <v>28</v>
      </c>
      <c r="C1" s="114"/>
      <c r="D1" s="114"/>
      <c r="E1" s="114"/>
      <c r="F1" s="114"/>
      <c r="G1" s="114"/>
      <c r="H1" s="114"/>
      <c r="I1" s="114"/>
      <c r="J1" s="114"/>
      <c r="K1" s="114"/>
      <c r="L1" s="114"/>
      <c r="M1" s="114"/>
      <c r="N1" s="114"/>
      <c r="O1" s="114"/>
      <c r="P1" s="114"/>
      <c r="Q1" s="114"/>
      <c r="R1" s="114"/>
      <c r="S1" s="114"/>
      <c r="T1" s="114"/>
      <c r="U1" s="114"/>
      <c r="V1" s="114"/>
      <c r="W1" s="114"/>
      <c r="X1" s="114"/>
      <c r="Y1" s="114"/>
      <c r="Z1" s="114"/>
      <c r="AA1" s="114"/>
      <c r="AB1" s="114"/>
      <c r="AC1" s="114"/>
      <c r="AD1" s="114"/>
      <c r="AE1" s="114"/>
      <c r="AF1" s="114"/>
      <c r="AG1" s="114"/>
      <c r="AH1" s="114"/>
      <c r="AI1" s="114"/>
      <c r="AJ1" s="114"/>
      <c r="AK1" s="115"/>
      <c r="AL1" s="16" t="s">
        <v>0</v>
      </c>
    </row>
    <row r="2" spans="1:38" ht="11.25" customHeight="1" x14ac:dyDescent="0.2">
      <c r="A2" s="112"/>
      <c r="B2" s="114"/>
      <c r="C2" s="114"/>
      <c r="D2" s="114"/>
      <c r="E2" s="114"/>
      <c r="F2" s="114"/>
      <c r="G2" s="114"/>
      <c r="H2" s="114"/>
      <c r="I2" s="114"/>
      <c r="J2" s="114"/>
      <c r="K2" s="114"/>
      <c r="L2" s="114"/>
      <c r="M2" s="114"/>
      <c r="N2" s="114"/>
      <c r="O2" s="114"/>
      <c r="P2" s="114"/>
      <c r="Q2" s="114"/>
      <c r="R2" s="114"/>
      <c r="S2" s="114"/>
      <c r="T2" s="114"/>
      <c r="U2" s="114"/>
      <c r="V2" s="114"/>
      <c r="W2" s="114"/>
      <c r="X2" s="114"/>
      <c r="Y2" s="114"/>
      <c r="Z2" s="114"/>
      <c r="AA2" s="114"/>
      <c r="AB2" s="114"/>
      <c r="AC2" s="114"/>
      <c r="AD2" s="114"/>
      <c r="AE2" s="114"/>
      <c r="AF2" s="114"/>
      <c r="AG2" s="114"/>
      <c r="AH2" s="114"/>
      <c r="AI2" s="114"/>
      <c r="AJ2" s="114"/>
      <c r="AK2" s="115"/>
      <c r="AL2" s="32">
        <f>Kapak!L3</f>
        <v>0</v>
      </c>
    </row>
    <row r="3" spans="1:38" ht="11.25" customHeight="1" x14ac:dyDescent="0.2">
      <c r="A3" s="111" t="str">
        <f>"Sayfa "&amp;A1&amp;" / "&amp;Kapak!E14&amp;CHAR(10)&amp;"Page "&amp;A1&amp;" of "&amp;Kapak!E14</f>
        <v xml:space="preserve">Sayfa 2 / 
Page 2 of </v>
      </c>
      <c r="B3" s="114"/>
      <c r="C3" s="114"/>
      <c r="D3" s="114"/>
      <c r="E3" s="114"/>
      <c r="F3" s="114"/>
      <c r="G3" s="114"/>
      <c r="H3" s="114"/>
      <c r="I3" s="114"/>
      <c r="J3" s="114"/>
      <c r="K3" s="114"/>
      <c r="L3" s="114"/>
      <c r="M3" s="114"/>
      <c r="N3" s="114"/>
      <c r="O3" s="114"/>
      <c r="P3" s="114"/>
      <c r="Q3" s="114"/>
      <c r="R3" s="114"/>
      <c r="S3" s="114"/>
      <c r="T3" s="114"/>
      <c r="U3" s="114"/>
      <c r="V3" s="114"/>
      <c r="W3" s="114"/>
      <c r="X3" s="114"/>
      <c r="Y3" s="114"/>
      <c r="Z3" s="114"/>
      <c r="AA3" s="114"/>
      <c r="AB3" s="114"/>
      <c r="AC3" s="114"/>
      <c r="AD3" s="114"/>
      <c r="AE3" s="114"/>
      <c r="AF3" s="114"/>
      <c r="AG3" s="114"/>
      <c r="AH3" s="114"/>
      <c r="AI3" s="114"/>
      <c r="AJ3" s="114"/>
      <c r="AK3" s="115"/>
      <c r="AL3" s="33">
        <f>Kapak!L4</f>
        <v>0</v>
      </c>
    </row>
    <row r="4" spans="1:38" ht="22.5" customHeight="1" x14ac:dyDescent="0.2">
      <c r="A4" s="111"/>
      <c r="B4" s="114"/>
      <c r="C4" s="114"/>
      <c r="D4" s="114"/>
      <c r="E4" s="114"/>
      <c r="F4" s="114"/>
      <c r="G4" s="114"/>
      <c r="H4" s="114"/>
      <c r="I4" s="114"/>
      <c r="J4" s="114"/>
      <c r="K4" s="114"/>
      <c r="L4" s="114"/>
      <c r="M4" s="114"/>
      <c r="N4" s="114"/>
      <c r="O4" s="114"/>
      <c r="P4" s="114"/>
      <c r="Q4" s="114"/>
      <c r="R4" s="114"/>
      <c r="S4" s="114"/>
      <c r="T4" s="114"/>
      <c r="U4" s="114"/>
      <c r="V4" s="114"/>
      <c r="W4" s="114"/>
      <c r="X4" s="114"/>
      <c r="Y4" s="114"/>
      <c r="Z4" s="114"/>
      <c r="AA4" s="114"/>
      <c r="AB4" s="114"/>
      <c r="AC4" s="114"/>
      <c r="AD4" s="114"/>
      <c r="AE4" s="114"/>
      <c r="AF4" s="114"/>
      <c r="AG4" s="114"/>
      <c r="AH4" s="114"/>
      <c r="AI4" s="114"/>
      <c r="AJ4" s="114"/>
      <c r="AK4" s="115"/>
      <c r="AL4" s="34">
        <f>Kapak!L5</f>
        <v>0</v>
      </c>
    </row>
    <row r="5" spans="1:38" s="1" customFormat="1" ht="3" customHeight="1" x14ac:dyDescent="0.2">
      <c r="A5" s="31"/>
      <c r="B5" s="30"/>
      <c r="C5" s="30"/>
      <c r="D5" s="30"/>
      <c r="E5" s="30"/>
      <c r="F5" s="30"/>
      <c r="G5" s="30"/>
      <c r="H5" s="30"/>
      <c r="I5" s="30"/>
      <c r="J5" s="30"/>
      <c r="K5" s="30"/>
      <c r="L5" s="30"/>
      <c r="M5" s="30"/>
      <c r="N5" s="30"/>
      <c r="O5" s="30"/>
      <c r="P5" s="30"/>
      <c r="Q5" s="30">
        <v>1</v>
      </c>
      <c r="R5" s="30"/>
      <c r="S5" s="30"/>
      <c r="T5" s="30"/>
      <c r="U5" s="30"/>
      <c r="V5" s="30"/>
      <c r="W5" s="30"/>
      <c r="X5" s="30"/>
      <c r="Y5" s="30"/>
      <c r="Z5" s="30"/>
      <c r="AA5" s="30"/>
      <c r="AB5" s="30"/>
      <c r="AC5" s="30"/>
      <c r="AD5" s="30"/>
      <c r="AE5" s="30"/>
      <c r="AF5" s="30"/>
      <c r="AG5" s="30"/>
      <c r="AH5" s="30"/>
      <c r="AI5" s="30"/>
      <c r="AJ5" s="30"/>
      <c r="AK5" s="30"/>
      <c r="AL5" s="14"/>
    </row>
    <row r="6" spans="1:38" ht="38.25" customHeight="1" x14ac:dyDescent="0.2">
      <c r="A6" s="105" t="s">
        <v>3</v>
      </c>
      <c r="B6" s="106"/>
      <c r="C6" s="116">
        <f>Kapak!$E$7</f>
        <v>0</v>
      </c>
      <c r="D6" s="117"/>
      <c r="E6" s="117"/>
      <c r="F6" s="117"/>
      <c r="G6" s="117"/>
      <c r="H6" s="117"/>
      <c r="I6" s="117"/>
      <c r="J6" s="117"/>
      <c r="K6" s="117"/>
      <c r="L6" s="117"/>
      <c r="M6" s="117"/>
      <c r="N6" s="117"/>
      <c r="O6" s="117"/>
      <c r="P6" s="117"/>
      <c r="Q6" s="117"/>
      <c r="R6" s="117"/>
      <c r="S6" s="117"/>
      <c r="T6" s="117"/>
      <c r="U6" s="117"/>
      <c r="V6" s="117"/>
      <c r="W6" s="117"/>
      <c r="X6" s="117"/>
      <c r="Y6" s="117"/>
      <c r="Z6" s="117"/>
      <c r="AA6" s="117"/>
      <c r="AB6" s="117"/>
      <c r="AC6" s="117"/>
      <c r="AD6" s="117"/>
      <c r="AE6" s="117"/>
      <c r="AF6" s="117"/>
      <c r="AG6" s="117"/>
      <c r="AH6" s="117"/>
      <c r="AI6" s="117"/>
      <c r="AJ6" s="117"/>
      <c r="AK6" s="117"/>
      <c r="AL6" s="118"/>
    </row>
    <row r="7" spans="1:38" ht="13.5" customHeight="1" x14ac:dyDescent="0.2">
      <c r="A7" s="105" t="s">
        <v>27</v>
      </c>
      <c r="B7" s="106"/>
      <c r="C7" s="121" t="s">
        <v>46</v>
      </c>
      <c r="D7" s="122"/>
      <c r="E7" s="122"/>
      <c r="F7" s="122"/>
      <c r="G7" s="122"/>
      <c r="H7" s="122"/>
      <c r="I7" s="122"/>
      <c r="J7" s="122"/>
      <c r="K7" s="122"/>
      <c r="L7" s="122"/>
      <c r="M7" s="122"/>
      <c r="N7" s="122"/>
      <c r="O7" s="122"/>
      <c r="P7" s="122"/>
      <c r="Q7" s="122"/>
      <c r="R7" s="122"/>
      <c r="S7" s="122"/>
      <c r="T7" s="122"/>
      <c r="U7" s="122"/>
      <c r="V7" s="122"/>
      <c r="W7" s="122"/>
      <c r="X7" s="122"/>
      <c r="Y7" s="122"/>
      <c r="Z7" s="122"/>
      <c r="AA7" s="122"/>
      <c r="AB7" s="122"/>
      <c r="AC7" s="122"/>
      <c r="AD7" s="122"/>
      <c r="AE7" s="122"/>
      <c r="AF7" s="122"/>
      <c r="AG7" s="122"/>
      <c r="AH7" s="122"/>
      <c r="AI7" s="123"/>
      <c r="AJ7" s="150" t="s">
        <v>67</v>
      </c>
      <c r="AK7" s="151"/>
      <c r="AL7" s="163" t="s">
        <v>4</v>
      </c>
    </row>
    <row r="8" spans="1:38" ht="14.25" customHeight="1" x14ac:dyDescent="0.2">
      <c r="A8" s="105" t="s">
        <v>5</v>
      </c>
      <c r="B8" s="106"/>
      <c r="C8" s="116" t="str">
        <f>MID(AL2,5,3)</f>
        <v/>
      </c>
      <c r="D8" s="117"/>
      <c r="E8" s="117"/>
      <c r="F8" s="117"/>
      <c r="G8" s="117"/>
      <c r="H8" s="117"/>
      <c r="I8" s="117"/>
      <c r="J8" s="117"/>
      <c r="K8" s="117"/>
      <c r="L8" s="117"/>
      <c r="M8" s="117"/>
      <c r="N8" s="117"/>
      <c r="O8" s="117"/>
      <c r="P8" s="117"/>
      <c r="Q8" s="117"/>
      <c r="R8" s="117"/>
      <c r="S8" s="117"/>
      <c r="T8" s="117"/>
      <c r="U8" s="117"/>
      <c r="V8" s="117"/>
      <c r="W8" s="117"/>
      <c r="X8" s="117"/>
      <c r="Y8" s="117"/>
      <c r="Z8" s="117"/>
      <c r="AA8" s="117"/>
      <c r="AB8" s="117"/>
      <c r="AC8" s="117"/>
      <c r="AD8" s="117"/>
      <c r="AE8" s="117"/>
      <c r="AF8" s="117"/>
      <c r="AG8" s="117"/>
      <c r="AH8" s="117"/>
      <c r="AI8" s="118"/>
      <c r="AJ8" s="152"/>
      <c r="AK8" s="153"/>
      <c r="AL8" s="164"/>
    </row>
    <row r="9" spans="1:38" ht="14.25" customHeight="1" x14ac:dyDescent="0.2">
      <c r="A9" s="105" t="s">
        <v>68</v>
      </c>
      <c r="B9" s="106"/>
      <c r="C9" s="107"/>
      <c r="D9" s="108"/>
      <c r="E9" s="109"/>
      <c r="F9" s="107"/>
      <c r="G9" s="108"/>
      <c r="H9" s="109"/>
      <c r="I9" s="107"/>
      <c r="J9" s="108"/>
      <c r="K9" s="109"/>
      <c r="L9" s="107"/>
      <c r="M9" s="108"/>
      <c r="N9" s="109"/>
      <c r="O9" s="107"/>
      <c r="P9" s="108"/>
      <c r="Q9" s="109"/>
      <c r="R9" s="107"/>
      <c r="S9" s="108"/>
      <c r="T9" s="109"/>
      <c r="U9" s="107"/>
      <c r="V9" s="108"/>
      <c r="W9" s="109"/>
      <c r="X9" s="107"/>
      <c r="Y9" s="108"/>
      <c r="Z9" s="109"/>
      <c r="AA9" s="107"/>
      <c r="AB9" s="108"/>
      <c r="AC9" s="109"/>
      <c r="AD9" s="107"/>
      <c r="AE9" s="108"/>
      <c r="AF9" s="109"/>
      <c r="AG9" s="107"/>
      <c r="AH9" s="108"/>
      <c r="AI9" s="109"/>
      <c r="AJ9" s="152"/>
      <c r="AK9" s="153"/>
      <c r="AL9" s="164"/>
    </row>
    <row r="10" spans="1:38" ht="27" customHeight="1" x14ac:dyDescent="0.2">
      <c r="A10" s="119" t="s">
        <v>87</v>
      </c>
      <c r="B10" s="120"/>
      <c r="C10" s="107"/>
      <c r="D10" s="108"/>
      <c r="E10" s="109"/>
      <c r="F10" s="107"/>
      <c r="G10" s="108"/>
      <c r="H10" s="109"/>
      <c r="I10" s="107"/>
      <c r="J10" s="108"/>
      <c r="K10" s="109"/>
      <c r="L10" s="107"/>
      <c r="M10" s="108"/>
      <c r="N10" s="109"/>
      <c r="O10" s="107"/>
      <c r="P10" s="108"/>
      <c r="Q10" s="109"/>
      <c r="R10" s="107"/>
      <c r="S10" s="108"/>
      <c r="T10" s="109"/>
      <c r="U10" s="107"/>
      <c r="V10" s="108"/>
      <c r="W10" s="109"/>
      <c r="X10" s="107"/>
      <c r="Y10" s="108"/>
      <c r="Z10" s="109"/>
      <c r="AA10" s="107"/>
      <c r="AB10" s="108"/>
      <c r="AC10" s="109"/>
      <c r="AD10" s="107"/>
      <c r="AE10" s="108"/>
      <c r="AF10" s="109"/>
      <c r="AG10" s="107"/>
      <c r="AH10" s="108"/>
      <c r="AI10" s="109"/>
      <c r="AJ10" s="152"/>
      <c r="AK10" s="153"/>
      <c r="AL10" s="164"/>
    </row>
    <row r="11" spans="1:38" ht="14.25" hidden="1" x14ac:dyDescent="0.2">
      <c r="A11" s="113" t="s">
        <v>85</v>
      </c>
      <c r="B11" s="113"/>
      <c r="C11" s="107"/>
      <c r="D11" s="108"/>
      <c r="E11" s="109"/>
      <c r="F11" s="107"/>
      <c r="G11" s="108"/>
      <c r="H11" s="109"/>
      <c r="I11" s="107"/>
      <c r="J11" s="108"/>
      <c r="K11" s="109"/>
      <c r="L11" s="107"/>
      <c r="M11" s="108"/>
      <c r="N11" s="109"/>
      <c r="O11" s="107"/>
      <c r="P11" s="108"/>
      <c r="Q11" s="109"/>
      <c r="R11" s="107"/>
      <c r="S11" s="108"/>
      <c r="T11" s="109"/>
      <c r="U11" s="107"/>
      <c r="V11" s="108"/>
      <c r="W11" s="109"/>
      <c r="X11" s="107"/>
      <c r="Y11" s="108"/>
      <c r="Z11" s="109"/>
      <c r="AA11" s="107"/>
      <c r="AB11" s="108"/>
      <c r="AC11" s="109"/>
      <c r="AD11" s="107"/>
      <c r="AE11" s="108"/>
      <c r="AF11" s="109"/>
      <c r="AG11" s="107"/>
      <c r="AH11" s="108"/>
      <c r="AI11" s="109"/>
      <c r="AJ11" s="152"/>
      <c r="AK11" s="153"/>
      <c r="AL11" s="164"/>
    </row>
    <row r="12" spans="1:38" ht="14.25" customHeight="1" x14ac:dyDescent="0.2">
      <c r="A12" s="113" t="s">
        <v>64</v>
      </c>
      <c r="B12" s="113"/>
      <c r="C12" s="107"/>
      <c r="D12" s="108"/>
      <c r="E12" s="109"/>
      <c r="F12" s="107"/>
      <c r="G12" s="108"/>
      <c r="H12" s="109"/>
      <c r="I12" s="107"/>
      <c r="J12" s="108"/>
      <c r="K12" s="109"/>
      <c r="L12" s="107"/>
      <c r="M12" s="108"/>
      <c r="N12" s="109"/>
      <c r="O12" s="107"/>
      <c r="P12" s="108"/>
      <c r="Q12" s="109"/>
      <c r="R12" s="107"/>
      <c r="S12" s="108"/>
      <c r="T12" s="109"/>
      <c r="U12" s="107"/>
      <c r="V12" s="108"/>
      <c r="W12" s="109"/>
      <c r="X12" s="107"/>
      <c r="Y12" s="108"/>
      <c r="Z12" s="109"/>
      <c r="AA12" s="107"/>
      <c r="AB12" s="108"/>
      <c r="AC12" s="109"/>
      <c r="AD12" s="107"/>
      <c r="AE12" s="108"/>
      <c r="AF12" s="109"/>
      <c r="AG12" s="107"/>
      <c r="AH12" s="108"/>
      <c r="AI12" s="109"/>
      <c r="AJ12" s="152"/>
      <c r="AK12" s="153"/>
      <c r="AL12" s="164"/>
    </row>
    <row r="13" spans="1:38" ht="14.25" customHeight="1" x14ac:dyDescent="0.2">
      <c r="A13" s="188" t="s">
        <v>21</v>
      </c>
      <c r="B13" s="189"/>
      <c r="C13" s="100"/>
      <c r="D13" s="100"/>
      <c r="E13" s="100"/>
      <c r="F13" s="100"/>
      <c r="G13" s="100"/>
      <c r="H13" s="100"/>
      <c r="I13" s="100"/>
      <c r="J13" s="100"/>
      <c r="K13" s="100"/>
      <c r="L13" s="100"/>
      <c r="M13" s="100"/>
      <c r="N13" s="100"/>
      <c r="O13" s="100" t="s">
        <v>115</v>
      </c>
      <c r="P13" s="100"/>
      <c r="Q13" s="100"/>
      <c r="R13" s="100"/>
      <c r="S13" s="100"/>
      <c r="T13" s="100"/>
      <c r="U13" s="100"/>
      <c r="V13" s="100"/>
      <c r="W13" s="100"/>
      <c r="X13" s="100"/>
      <c r="Y13" s="100"/>
      <c r="Z13" s="100"/>
      <c r="AA13" s="100"/>
      <c r="AB13" s="100"/>
      <c r="AC13" s="100"/>
      <c r="AD13" s="100"/>
      <c r="AE13" s="100"/>
      <c r="AF13" s="100"/>
      <c r="AG13" s="100"/>
      <c r="AH13" s="100"/>
      <c r="AI13" s="100"/>
      <c r="AJ13" s="154"/>
      <c r="AK13" s="155"/>
      <c r="AL13" s="165"/>
    </row>
    <row r="14" spans="1:38" ht="14.25" customHeight="1" x14ac:dyDescent="0.2">
      <c r="A14" s="105" t="s">
        <v>69</v>
      </c>
      <c r="B14" s="106"/>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c r="AA14" s="110"/>
      <c r="AB14" s="110"/>
      <c r="AC14" s="110"/>
      <c r="AD14" s="110"/>
      <c r="AE14" s="110"/>
      <c r="AF14" s="110"/>
      <c r="AG14" s="110"/>
      <c r="AH14" s="110"/>
      <c r="AI14" s="110"/>
      <c r="AJ14" s="46">
        <v>100</v>
      </c>
      <c r="AK14" s="46">
        <v>100</v>
      </c>
      <c r="AL14" s="92" t="s">
        <v>75</v>
      </c>
    </row>
    <row r="15" spans="1:38" ht="14.25" customHeight="1" x14ac:dyDescent="0.2">
      <c r="A15" s="105" t="s">
        <v>32</v>
      </c>
      <c r="B15" s="106"/>
      <c r="C15" s="110"/>
      <c r="D15" s="110"/>
      <c r="E15" s="110"/>
      <c r="F15" s="110"/>
      <c r="G15" s="110"/>
      <c r="H15" s="110"/>
      <c r="I15" s="110"/>
      <c r="J15" s="110"/>
      <c r="K15" s="110"/>
      <c r="L15" s="110"/>
      <c r="M15" s="110"/>
      <c r="N15" s="110"/>
      <c r="O15" s="110"/>
      <c r="P15" s="110"/>
      <c r="Q15" s="110"/>
      <c r="R15" s="110"/>
      <c r="S15" s="110"/>
      <c r="T15" s="110"/>
      <c r="U15" s="110"/>
      <c r="V15" s="110"/>
      <c r="W15" s="110"/>
      <c r="X15" s="110"/>
      <c r="Y15" s="110"/>
      <c r="Z15" s="110"/>
      <c r="AA15" s="110"/>
      <c r="AB15" s="110"/>
      <c r="AC15" s="110"/>
      <c r="AD15" s="110"/>
      <c r="AE15" s="110"/>
      <c r="AF15" s="110"/>
      <c r="AG15" s="110"/>
      <c r="AH15" s="110"/>
      <c r="AI15" s="110"/>
      <c r="AJ15" s="46">
        <v>85</v>
      </c>
      <c r="AK15" s="46">
        <v>100</v>
      </c>
      <c r="AL15" s="93"/>
    </row>
    <row r="16" spans="1:38" ht="14.25" customHeight="1" x14ac:dyDescent="0.2">
      <c r="A16" s="105" t="s">
        <v>70</v>
      </c>
      <c r="B16" s="106" t="s">
        <v>6</v>
      </c>
      <c r="C16" s="110"/>
      <c r="D16" s="110"/>
      <c r="E16" s="110"/>
      <c r="F16" s="110"/>
      <c r="G16" s="110"/>
      <c r="H16" s="110"/>
      <c r="I16" s="110"/>
      <c r="J16" s="110"/>
      <c r="K16" s="110"/>
      <c r="L16" s="110"/>
      <c r="M16" s="110"/>
      <c r="N16" s="110"/>
      <c r="O16" s="110"/>
      <c r="P16" s="110"/>
      <c r="Q16" s="110"/>
      <c r="R16" s="110"/>
      <c r="S16" s="110"/>
      <c r="T16" s="110"/>
      <c r="U16" s="110"/>
      <c r="V16" s="110"/>
      <c r="W16" s="110"/>
      <c r="X16" s="110"/>
      <c r="Y16" s="110"/>
      <c r="Z16" s="110"/>
      <c r="AA16" s="110"/>
      <c r="AB16" s="110"/>
      <c r="AC16" s="110"/>
      <c r="AD16" s="110"/>
      <c r="AE16" s="110"/>
      <c r="AF16" s="110"/>
      <c r="AG16" s="110"/>
      <c r="AH16" s="110"/>
      <c r="AI16" s="110"/>
      <c r="AJ16" s="46">
        <v>25</v>
      </c>
      <c r="AK16" s="46">
        <v>100</v>
      </c>
      <c r="AL16" s="93"/>
    </row>
    <row r="17" spans="1:38" ht="14.25" customHeight="1" x14ac:dyDescent="0.2">
      <c r="A17" s="105" t="s">
        <v>71</v>
      </c>
      <c r="B17" s="106"/>
      <c r="C17" s="110"/>
      <c r="D17" s="110"/>
      <c r="E17" s="110"/>
      <c r="F17" s="110"/>
      <c r="G17" s="110"/>
      <c r="H17" s="110"/>
      <c r="I17" s="110"/>
      <c r="J17" s="110"/>
      <c r="K17" s="110"/>
      <c r="L17" s="110"/>
      <c r="M17" s="110"/>
      <c r="N17" s="110"/>
      <c r="O17" s="110"/>
      <c r="P17" s="110"/>
      <c r="Q17" s="110"/>
      <c r="R17" s="110"/>
      <c r="S17" s="110"/>
      <c r="T17" s="110"/>
      <c r="U17" s="110"/>
      <c r="V17" s="110"/>
      <c r="W17" s="110"/>
      <c r="X17" s="110"/>
      <c r="Y17" s="110"/>
      <c r="Z17" s="110"/>
      <c r="AA17" s="110"/>
      <c r="AB17" s="110"/>
      <c r="AC17" s="110"/>
      <c r="AD17" s="110"/>
      <c r="AE17" s="110"/>
      <c r="AF17" s="110"/>
      <c r="AG17" s="110"/>
      <c r="AH17" s="110"/>
      <c r="AI17" s="110"/>
      <c r="AJ17" s="46">
        <v>15</v>
      </c>
      <c r="AK17" s="46">
        <v>100</v>
      </c>
      <c r="AL17" s="93"/>
    </row>
    <row r="18" spans="1:38" ht="14.25" customHeight="1" x14ac:dyDescent="0.2">
      <c r="A18" s="105" t="s">
        <v>72</v>
      </c>
      <c r="B18" s="106"/>
      <c r="C18" s="110"/>
      <c r="D18" s="110"/>
      <c r="E18" s="110"/>
      <c r="F18" s="110"/>
      <c r="G18" s="110"/>
      <c r="H18" s="110"/>
      <c r="I18" s="110"/>
      <c r="J18" s="110"/>
      <c r="K18" s="110"/>
      <c r="L18" s="110"/>
      <c r="M18" s="110"/>
      <c r="N18" s="110"/>
      <c r="O18" s="110"/>
      <c r="P18" s="110"/>
      <c r="Q18" s="110"/>
      <c r="R18" s="110"/>
      <c r="S18" s="110"/>
      <c r="T18" s="110"/>
      <c r="U18" s="110"/>
      <c r="V18" s="110"/>
      <c r="W18" s="110"/>
      <c r="X18" s="110"/>
      <c r="Y18" s="110"/>
      <c r="Z18" s="110"/>
      <c r="AA18" s="110"/>
      <c r="AB18" s="110"/>
      <c r="AC18" s="110"/>
      <c r="AD18" s="110"/>
      <c r="AE18" s="110"/>
      <c r="AF18" s="110"/>
      <c r="AG18" s="110"/>
      <c r="AH18" s="110"/>
      <c r="AI18" s="110"/>
      <c r="AJ18" s="46">
        <v>10</v>
      </c>
      <c r="AK18" s="46">
        <v>65</v>
      </c>
      <c r="AL18" s="93"/>
    </row>
    <row r="19" spans="1:38" ht="14.25" customHeight="1" x14ac:dyDescent="0.2">
      <c r="A19" s="105" t="s">
        <v>39</v>
      </c>
      <c r="B19" s="106"/>
      <c r="C19" s="110"/>
      <c r="D19" s="110"/>
      <c r="E19" s="110"/>
      <c r="F19" s="110"/>
      <c r="G19" s="110"/>
      <c r="H19" s="110"/>
      <c r="I19" s="110"/>
      <c r="J19" s="110"/>
      <c r="K19" s="110"/>
      <c r="L19" s="110"/>
      <c r="M19" s="110"/>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04" t="s">
        <v>20</v>
      </c>
      <c r="AK19" s="104"/>
      <c r="AL19" s="93"/>
    </row>
    <row r="20" spans="1:38" ht="14.25" customHeight="1" x14ac:dyDescent="0.2">
      <c r="A20" s="105" t="s">
        <v>77</v>
      </c>
      <c r="B20" s="106"/>
      <c r="C20" s="124"/>
      <c r="D20" s="124"/>
      <c r="E20" s="124"/>
      <c r="F20" s="124"/>
      <c r="G20" s="124"/>
      <c r="H20" s="124"/>
      <c r="I20" s="124"/>
      <c r="J20" s="124"/>
      <c r="K20" s="124"/>
      <c r="L20" s="124"/>
      <c r="M20" s="124"/>
      <c r="N20" s="124"/>
      <c r="O20" s="124"/>
      <c r="P20" s="124"/>
      <c r="Q20" s="124"/>
      <c r="R20" s="124"/>
      <c r="S20" s="124"/>
      <c r="T20" s="124"/>
      <c r="U20" s="124"/>
      <c r="V20" s="124"/>
      <c r="W20" s="124"/>
      <c r="X20" s="124"/>
      <c r="Y20" s="124"/>
      <c r="Z20" s="124"/>
      <c r="AA20" s="124"/>
      <c r="AB20" s="124"/>
      <c r="AC20" s="124"/>
      <c r="AD20" s="124"/>
      <c r="AE20" s="124"/>
      <c r="AF20" s="124"/>
      <c r="AG20" s="124"/>
      <c r="AH20" s="124"/>
      <c r="AI20" s="124"/>
      <c r="AJ20" s="104" t="s">
        <v>79</v>
      </c>
      <c r="AK20" s="104"/>
      <c r="AL20" s="94"/>
    </row>
    <row r="21" spans="1:38" ht="14.25" customHeight="1" x14ac:dyDescent="0.2">
      <c r="A21" s="140" t="s">
        <v>48</v>
      </c>
      <c r="B21" s="142" t="s">
        <v>16</v>
      </c>
      <c r="C21" s="139"/>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139"/>
      <c r="AB21" s="139"/>
      <c r="AC21" s="139"/>
      <c r="AD21" s="139"/>
      <c r="AE21" s="139"/>
      <c r="AF21" s="139"/>
      <c r="AG21" s="139"/>
      <c r="AH21" s="139"/>
      <c r="AI21" s="139"/>
      <c r="AJ21" s="104" t="s">
        <v>63</v>
      </c>
      <c r="AK21" s="104"/>
      <c r="AL21" s="95" t="s">
        <v>30</v>
      </c>
    </row>
    <row r="22" spans="1:38" ht="14.25" customHeight="1" x14ac:dyDescent="0.2">
      <c r="A22" s="141"/>
      <c r="B22" s="120"/>
      <c r="C22" s="146"/>
      <c r="D22" s="146"/>
      <c r="E22" s="146"/>
      <c r="F22" s="146"/>
      <c r="G22" s="146"/>
      <c r="H22" s="146"/>
      <c r="I22" s="146"/>
      <c r="J22" s="146"/>
      <c r="K22" s="146"/>
      <c r="L22" s="146"/>
      <c r="M22" s="146"/>
      <c r="N22" s="146"/>
      <c r="O22" s="139">
        <v>0</v>
      </c>
      <c r="P22" s="139"/>
      <c r="Q22" s="139"/>
      <c r="R22" s="139"/>
      <c r="S22" s="139"/>
      <c r="T22" s="139"/>
      <c r="U22" s="139"/>
      <c r="V22" s="139"/>
      <c r="W22" s="139"/>
      <c r="X22" s="139"/>
      <c r="Y22" s="139"/>
      <c r="Z22" s="139"/>
      <c r="AA22" s="139"/>
      <c r="AB22" s="139"/>
      <c r="AC22" s="139"/>
      <c r="AD22" s="139"/>
      <c r="AE22" s="139"/>
      <c r="AF22" s="139"/>
      <c r="AG22" s="139"/>
      <c r="AH22" s="139"/>
      <c r="AI22" s="139"/>
      <c r="AJ22" s="104" t="s">
        <v>63</v>
      </c>
      <c r="AK22" s="104"/>
      <c r="AL22" s="95"/>
    </row>
    <row r="23" spans="1:38" ht="14.25" customHeight="1" x14ac:dyDescent="0.2">
      <c r="A23" s="47" t="s">
        <v>109</v>
      </c>
      <c r="B23" s="48" t="s">
        <v>16</v>
      </c>
      <c r="C23" s="124"/>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124"/>
      <c r="AB23" s="124"/>
      <c r="AC23" s="124"/>
      <c r="AD23" s="124"/>
      <c r="AE23" s="124"/>
      <c r="AF23" s="124"/>
      <c r="AG23" s="124"/>
      <c r="AH23" s="124"/>
      <c r="AI23" s="124"/>
      <c r="AJ23" s="104" t="s">
        <v>63</v>
      </c>
      <c r="AK23" s="104"/>
      <c r="AL23" s="95"/>
    </row>
    <row r="24" spans="1:38" ht="15" customHeight="1" x14ac:dyDescent="0.2">
      <c r="A24" s="105" t="s">
        <v>102</v>
      </c>
      <c r="B24" s="106"/>
      <c r="C24" s="124"/>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124"/>
      <c r="AB24" s="124"/>
      <c r="AC24" s="124"/>
      <c r="AD24" s="124"/>
      <c r="AE24" s="124"/>
      <c r="AF24" s="124"/>
      <c r="AG24" s="124"/>
      <c r="AH24" s="124"/>
      <c r="AI24" s="124"/>
      <c r="AJ24" s="104" t="s">
        <v>17</v>
      </c>
      <c r="AK24" s="104"/>
      <c r="AL24" s="95" t="s">
        <v>30</v>
      </c>
    </row>
    <row r="25" spans="1:38" ht="14.25" customHeight="1" x14ac:dyDescent="0.2">
      <c r="A25" s="105" t="s">
        <v>103</v>
      </c>
      <c r="B25" s="106"/>
      <c r="C25" s="124"/>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04" t="s">
        <v>63</v>
      </c>
      <c r="AK25" s="104"/>
      <c r="AL25" s="95"/>
    </row>
    <row r="26" spans="1:38" ht="14.25" customHeight="1" x14ac:dyDescent="0.2">
      <c r="A26" s="56" t="s">
        <v>117</v>
      </c>
      <c r="B26" s="200" t="s">
        <v>107</v>
      </c>
      <c r="C26" s="124"/>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4"/>
      <c r="AB26" s="124"/>
      <c r="AC26" s="124"/>
      <c r="AD26" s="124"/>
      <c r="AE26" s="124"/>
      <c r="AF26" s="124"/>
      <c r="AG26" s="124"/>
      <c r="AH26" s="124"/>
      <c r="AI26" s="124"/>
      <c r="AJ26" s="156" t="s">
        <v>63</v>
      </c>
      <c r="AK26" s="157"/>
      <c r="AL26" s="101" t="s">
        <v>65</v>
      </c>
    </row>
    <row r="27" spans="1:38" ht="14.25" customHeight="1" x14ac:dyDescent="0.2">
      <c r="A27" s="96" t="s">
        <v>114</v>
      </c>
      <c r="B27" s="200" t="s">
        <v>106</v>
      </c>
      <c r="C27" s="143"/>
      <c r="D27" s="144"/>
      <c r="E27" s="145"/>
      <c r="F27" s="143"/>
      <c r="G27" s="144"/>
      <c r="H27" s="145"/>
      <c r="I27" s="143"/>
      <c r="J27" s="144"/>
      <c r="K27" s="145"/>
      <c r="L27" s="143"/>
      <c r="M27" s="144"/>
      <c r="N27" s="145"/>
      <c r="O27" s="143" t="s">
        <v>74</v>
      </c>
      <c r="P27" s="144"/>
      <c r="Q27" s="145"/>
      <c r="R27" s="143"/>
      <c r="S27" s="144"/>
      <c r="T27" s="145"/>
      <c r="U27" s="143"/>
      <c r="V27" s="144"/>
      <c r="W27" s="145"/>
      <c r="X27" s="143"/>
      <c r="Y27" s="144"/>
      <c r="Z27" s="145"/>
      <c r="AA27" s="143"/>
      <c r="AB27" s="144"/>
      <c r="AC27" s="145"/>
      <c r="AD27" s="143"/>
      <c r="AE27" s="144"/>
      <c r="AF27" s="145"/>
      <c r="AG27" s="143"/>
      <c r="AH27" s="144"/>
      <c r="AI27" s="145"/>
      <c r="AJ27" s="156" t="s">
        <v>63</v>
      </c>
      <c r="AK27" s="157"/>
      <c r="AL27" s="102"/>
    </row>
    <row r="28" spans="1:38" ht="14.25" customHeight="1" x14ac:dyDescent="0.2">
      <c r="A28" s="96"/>
      <c r="B28" s="200" t="s">
        <v>108</v>
      </c>
      <c r="C28" s="147"/>
      <c r="D28" s="148"/>
      <c r="E28" s="149"/>
      <c r="F28" s="147"/>
      <c r="G28" s="148"/>
      <c r="H28" s="149"/>
      <c r="I28" s="147"/>
      <c r="J28" s="148"/>
      <c r="K28" s="149"/>
      <c r="L28" s="147"/>
      <c r="M28" s="148"/>
      <c r="N28" s="149"/>
      <c r="O28" s="147" t="s">
        <v>94</v>
      </c>
      <c r="P28" s="148"/>
      <c r="Q28" s="149"/>
      <c r="R28" s="147"/>
      <c r="S28" s="148"/>
      <c r="T28" s="149"/>
      <c r="U28" s="147"/>
      <c r="V28" s="148"/>
      <c r="W28" s="149"/>
      <c r="X28" s="147"/>
      <c r="Y28" s="148"/>
      <c r="Z28" s="149"/>
      <c r="AA28" s="147"/>
      <c r="AB28" s="148"/>
      <c r="AC28" s="149"/>
      <c r="AD28" s="147"/>
      <c r="AE28" s="148"/>
      <c r="AF28" s="149"/>
      <c r="AG28" s="147"/>
      <c r="AH28" s="148"/>
      <c r="AI28" s="149"/>
      <c r="AJ28" s="156" t="s">
        <v>63</v>
      </c>
      <c r="AK28" s="157"/>
      <c r="AL28" s="102"/>
    </row>
    <row r="29" spans="1:38" ht="14.25" customHeight="1" x14ac:dyDescent="0.2">
      <c r="A29" s="97" t="str">
        <f>IF(ArmeStandart="TS EN ISO 17892-12","Cassagrande, Tek Nokta","Cassagrande, Üç Nokta")</f>
        <v>Cassagrande, Tek Nokta</v>
      </c>
      <c r="B29" s="200" t="s">
        <v>84</v>
      </c>
      <c r="C29" s="147"/>
      <c r="D29" s="148"/>
      <c r="E29" s="149"/>
      <c r="F29" s="147"/>
      <c r="G29" s="148"/>
      <c r="H29" s="149"/>
      <c r="I29" s="147"/>
      <c r="J29" s="148"/>
      <c r="K29" s="149"/>
      <c r="L29" s="147"/>
      <c r="M29" s="148"/>
      <c r="N29" s="149"/>
      <c r="O29" s="147" t="s">
        <v>90</v>
      </c>
      <c r="P29" s="148"/>
      <c r="Q29" s="149"/>
      <c r="R29" s="147"/>
      <c r="S29" s="148"/>
      <c r="T29" s="149"/>
      <c r="U29" s="147"/>
      <c r="V29" s="148"/>
      <c r="W29" s="149"/>
      <c r="X29" s="147"/>
      <c r="Y29" s="148"/>
      <c r="Z29" s="149"/>
      <c r="AA29" s="147"/>
      <c r="AB29" s="148"/>
      <c r="AC29" s="149"/>
      <c r="AD29" s="147"/>
      <c r="AE29" s="148"/>
      <c r="AF29" s="149"/>
      <c r="AG29" s="147"/>
      <c r="AH29" s="148"/>
      <c r="AI29" s="149"/>
      <c r="AJ29" s="156" t="s">
        <v>63</v>
      </c>
      <c r="AK29" s="157"/>
      <c r="AL29" s="102"/>
    </row>
    <row r="30" spans="1:38" ht="15" customHeight="1" x14ac:dyDescent="0.2">
      <c r="A30" s="97"/>
      <c r="B30" s="199" t="s">
        <v>105</v>
      </c>
      <c r="C30" s="58"/>
      <c r="D30" s="58"/>
      <c r="E30" s="61"/>
      <c r="F30" s="58"/>
      <c r="G30" s="58"/>
      <c r="H30" s="61"/>
      <c r="I30" s="58"/>
      <c r="J30" s="58"/>
      <c r="K30" s="61"/>
      <c r="L30" s="58"/>
      <c r="M30" s="58"/>
      <c r="N30" s="61"/>
      <c r="O30" s="58" t="s">
        <v>80</v>
      </c>
      <c r="P30" s="58" t="s">
        <v>81</v>
      </c>
      <c r="Q30" s="58" t="s">
        <v>63</v>
      </c>
      <c r="R30" s="58"/>
      <c r="S30" s="58"/>
      <c r="T30" s="58"/>
      <c r="U30" s="58"/>
      <c r="V30" s="58"/>
      <c r="W30" s="58"/>
      <c r="X30" s="58"/>
      <c r="Y30" s="58"/>
      <c r="Z30" s="58"/>
      <c r="AA30" s="58"/>
      <c r="AB30" s="58"/>
      <c r="AC30" s="58"/>
      <c r="AD30" s="58"/>
      <c r="AE30" s="58"/>
      <c r="AF30" s="58"/>
      <c r="AG30" s="58"/>
      <c r="AH30" s="58"/>
      <c r="AI30" s="58"/>
      <c r="AJ30" s="156" t="s">
        <v>63</v>
      </c>
      <c r="AK30" s="157"/>
      <c r="AL30" s="102"/>
    </row>
    <row r="31" spans="1:38" ht="14.25" customHeight="1" x14ac:dyDescent="0.2">
      <c r="A31" s="97"/>
      <c r="B31" s="198" t="s">
        <v>100</v>
      </c>
      <c r="C31" s="58"/>
      <c r="D31" s="58"/>
      <c r="E31" s="58"/>
      <c r="F31" s="58"/>
      <c r="G31" s="58"/>
      <c r="H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156" t="s">
        <v>63</v>
      </c>
      <c r="AK31" s="157"/>
      <c r="AL31" s="102"/>
    </row>
    <row r="32" spans="1:38" ht="14.25" customHeight="1" x14ac:dyDescent="0.2">
      <c r="A32" s="96" t="s">
        <v>113</v>
      </c>
      <c r="B32" s="198" t="s">
        <v>101</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156" t="s">
        <v>63</v>
      </c>
      <c r="AK32" s="157"/>
      <c r="AL32" s="102"/>
    </row>
    <row r="33" spans="1:38" ht="14.25" x14ac:dyDescent="0.2">
      <c r="A33" s="96"/>
      <c r="B33" s="67" t="s">
        <v>119</v>
      </c>
      <c r="C33" s="125"/>
      <c r="D33" s="125"/>
      <c r="E33" s="125"/>
      <c r="F33" s="125"/>
      <c r="G33" s="125"/>
      <c r="H33" s="125"/>
      <c r="I33" s="125"/>
      <c r="J33" s="125"/>
      <c r="K33" s="125"/>
      <c r="L33" s="125"/>
      <c r="M33" s="125"/>
      <c r="N33" s="125"/>
      <c r="O33" s="125" t="s">
        <v>76</v>
      </c>
      <c r="P33" s="125"/>
      <c r="Q33" s="125"/>
      <c r="R33" s="125"/>
      <c r="S33" s="125"/>
      <c r="T33" s="125"/>
      <c r="U33" s="125"/>
      <c r="V33" s="125"/>
      <c r="W33" s="125"/>
      <c r="X33" s="125"/>
      <c r="Y33" s="125"/>
      <c r="Z33" s="125"/>
      <c r="AA33" s="125"/>
      <c r="AB33" s="125"/>
      <c r="AC33" s="125"/>
      <c r="AD33" s="125"/>
      <c r="AE33" s="125"/>
      <c r="AF33" s="125"/>
      <c r="AG33" s="125"/>
      <c r="AH33" s="125"/>
      <c r="AI33" s="125"/>
      <c r="AJ33" s="137" t="s">
        <v>63</v>
      </c>
      <c r="AK33" s="138"/>
      <c r="AL33" s="102"/>
    </row>
    <row r="34" spans="1:38" ht="14.25" customHeight="1" x14ac:dyDescent="0.2">
      <c r="A34" s="98" t="str">
        <f>IF(ArmeStandart="TS EN ISO 17892-12","Formül ile:"&amp;CHAR(10)&amp;"wL = (w1/w2) * ((N1+N2/2)/25)^0.121","Grafikten")</f>
        <v>Formül ile:
wL = (w1/w2) * ((N1+N2/2)/25)^0.121</v>
      </c>
      <c r="B34" s="199" t="s">
        <v>105</v>
      </c>
      <c r="C34" s="58"/>
      <c r="D34" s="58"/>
      <c r="E34" s="58"/>
      <c r="F34" s="58"/>
      <c r="G34" s="58"/>
      <c r="H34" s="58"/>
      <c r="I34" s="58"/>
      <c r="J34" s="58"/>
      <c r="K34" s="58"/>
      <c r="L34" s="58"/>
      <c r="M34" s="58"/>
      <c r="N34" s="58"/>
      <c r="O34" s="58" t="s">
        <v>82</v>
      </c>
      <c r="P34" s="58" t="s">
        <v>83</v>
      </c>
      <c r="Q34" s="58" t="s">
        <v>63</v>
      </c>
      <c r="R34" s="58"/>
      <c r="S34" s="58"/>
      <c r="T34" s="58"/>
      <c r="U34" s="58"/>
      <c r="V34" s="58"/>
      <c r="W34" s="58"/>
      <c r="X34" s="58"/>
      <c r="Y34" s="58"/>
      <c r="Z34" s="58"/>
      <c r="AA34" s="58"/>
      <c r="AB34" s="58"/>
      <c r="AC34" s="58"/>
      <c r="AD34" s="58"/>
      <c r="AE34" s="58"/>
      <c r="AF34" s="58"/>
      <c r="AG34" s="58"/>
      <c r="AH34" s="58"/>
      <c r="AI34" s="58"/>
      <c r="AJ34" s="156" t="s">
        <v>63</v>
      </c>
      <c r="AK34" s="157"/>
      <c r="AL34" s="102"/>
    </row>
    <row r="35" spans="1:38" ht="14.25" x14ac:dyDescent="0.2">
      <c r="A35" s="98"/>
      <c r="B35" s="198" t="s">
        <v>101</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156" t="s">
        <v>63</v>
      </c>
      <c r="AK35" s="157"/>
      <c r="AL35" s="102"/>
    </row>
    <row r="36" spans="1:38" ht="14.25" x14ac:dyDescent="0.2">
      <c r="A36" s="98"/>
      <c r="B36" s="67" t="s">
        <v>118</v>
      </c>
      <c r="C36" s="107"/>
      <c r="D36" s="108"/>
      <c r="E36" s="109"/>
      <c r="F36" s="107"/>
      <c r="G36" s="108"/>
      <c r="H36" s="109"/>
      <c r="I36" s="107"/>
      <c r="J36" s="108"/>
      <c r="K36" s="109"/>
      <c r="L36" s="107"/>
      <c r="M36" s="108"/>
      <c r="N36" s="109"/>
      <c r="O36" s="107" t="s">
        <v>76</v>
      </c>
      <c r="P36" s="108"/>
      <c r="Q36" s="109"/>
      <c r="R36" s="107"/>
      <c r="S36" s="108"/>
      <c r="T36" s="109"/>
      <c r="U36" s="107"/>
      <c r="V36" s="108"/>
      <c r="W36" s="109"/>
      <c r="X36" s="107"/>
      <c r="Y36" s="108"/>
      <c r="Z36" s="109"/>
      <c r="AA36" s="107"/>
      <c r="AB36" s="108"/>
      <c r="AC36" s="109"/>
      <c r="AD36" s="107"/>
      <c r="AE36" s="108"/>
      <c r="AF36" s="109"/>
      <c r="AG36" s="107"/>
      <c r="AH36" s="108"/>
      <c r="AI36" s="109"/>
      <c r="AJ36" s="137" t="s">
        <v>73</v>
      </c>
      <c r="AK36" s="138"/>
      <c r="AL36" s="102"/>
    </row>
    <row r="37" spans="1:38" ht="24" x14ac:dyDescent="0.2">
      <c r="A37" s="99"/>
      <c r="B37" s="66" t="s">
        <v>104</v>
      </c>
      <c r="C37" s="143"/>
      <c r="D37" s="144"/>
      <c r="E37" s="145"/>
      <c r="F37" s="143"/>
      <c r="G37" s="144"/>
      <c r="H37" s="145"/>
      <c r="I37" s="143"/>
      <c r="J37" s="144"/>
      <c r="K37" s="145"/>
      <c r="L37" s="143"/>
      <c r="M37" s="144"/>
      <c r="N37" s="145"/>
      <c r="O37" s="143" t="s">
        <v>76</v>
      </c>
      <c r="P37" s="144"/>
      <c r="Q37" s="145"/>
      <c r="R37" s="143"/>
      <c r="S37" s="144"/>
      <c r="T37" s="145"/>
      <c r="U37" s="143"/>
      <c r="V37" s="144"/>
      <c r="W37" s="145"/>
      <c r="X37" s="143"/>
      <c r="Y37" s="144"/>
      <c r="Z37" s="145"/>
      <c r="AA37" s="143"/>
      <c r="AB37" s="144"/>
      <c r="AC37" s="145"/>
      <c r="AD37" s="143"/>
      <c r="AE37" s="144"/>
      <c r="AF37" s="145"/>
      <c r="AG37" s="143"/>
      <c r="AH37" s="144"/>
      <c r="AI37" s="145"/>
      <c r="AJ37" s="137" t="s">
        <v>63</v>
      </c>
      <c r="AK37" s="138"/>
      <c r="AL37" s="103"/>
    </row>
    <row r="38" spans="1:38" ht="14.25" customHeight="1" x14ac:dyDescent="0.2">
      <c r="A38" s="113" t="s">
        <v>86</v>
      </c>
      <c r="B38" s="113"/>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c r="AB38" s="110"/>
      <c r="AC38" s="110"/>
      <c r="AD38" s="110"/>
      <c r="AE38" s="110"/>
      <c r="AF38" s="110"/>
      <c r="AG38" s="110"/>
      <c r="AH38" s="110"/>
      <c r="AI38" s="110"/>
      <c r="AJ38" s="137" t="s">
        <v>63</v>
      </c>
      <c r="AK38" s="138"/>
      <c r="AL38" s="95" t="s">
        <v>88</v>
      </c>
    </row>
    <row r="39" spans="1:38" ht="15" customHeight="1" x14ac:dyDescent="0.2">
      <c r="A39" s="113" t="s">
        <v>116</v>
      </c>
      <c r="B39" s="113"/>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c r="AB39" s="110"/>
      <c r="AC39" s="110"/>
      <c r="AD39" s="110"/>
      <c r="AE39" s="110"/>
      <c r="AF39" s="110"/>
      <c r="AG39" s="110"/>
      <c r="AH39" s="110"/>
      <c r="AI39" s="110"/>
      <c r="AJ39" s="137" t="s">
        <v>63</v>
      </c>
      <c r="AK39" s="138"/>
      <c r="AL39" s="95"/>
    </row>
    <row r="40" spans="1:38" ht="60.75" customHeight="1" x14ac:dyDescent="0.2">
      <c r="A40" s="166" t="s">
        <v>47</v>
      </c>
      <c r="B40" s="167"/>
      <c r="C40" s="168"/>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69"/>
      <c r="AC40" s="169"/>
      <c r="AD40" s="169"/>
      <c r="AE40" s="169"/>
      <c r="AF40" s="169"/>
      <c r="AG40" s="169"/>
      <c r="AH40" s="169"/>
      <c r="AI40" s="169"/>
      <c r="AJ40" s="169"/>
      <c r="AK40" s="169"/>
      <c r="AL40" s="170"/>
    </row>
    <row r="41" spans="1:38" s="4" customFormat="1" ht="14.25" customHeight="1" x14ac:dyDescent="0.2">
      <c r="A41" s="158" t="s">
        <v>1</v>
      </c>
      <c r="B41" s="135"/>
      <c r="C41" s="135" t="s">
        <v>26</v>
      </c>
      <c r="D41" s="135"/>
      <c r="E41" s="135"/>
      <c r="F41" s="135"/>
      <c r="G41" s="135"/>
      <c r="H41" s="135" t="s">
        <v>44</v>
      </c>
      <c r="I41" s="135"/>
      <c r="J41" s="135"/>
      <c r="K41" s="135"/>
      <c r="L41" s="135"/>
      <c r="M41" s="42"/>
      <c r="N41" s="42"/>
      <c r="O41" s="42"/>
      <c r="P41" s="52"/>
      <c r="Q41" s="52"/>
      <c r="R41" s="52"/>
      <c r="S41" s="52"/>
      <c r="T41" s="52"/>
      <c r="U41" s="52"/>
      <c r="V41" s="52"/>
      <c r="W41" s="52"/>
      <c r="X41" s="52"/>
      <c r="Y41" s="52"/>
      <c r="Z41" s="52"/>
      <c r="AA41" s="52"/>
      <c r="AB41" s="52"/>
      <c r="AC41" s="52"/>
      <c r="AD41" s="52"/>
      <c r="AE41" s="52"/>
      <c r="AF41" s="52"/>
      <c r="AG41" s="52"/>
      <c r="AH41" s="52"/>
      <c r="AI41" s="52"/>
      <c r="AJ41" s="135" t="s">
        <v>2</v>
      </c>
      <c r="AK41" s="135"/>
      <c r="AL41" s="136"/>
    </row>
    <row r="42" spans="1:38" s="4" customFormat="1" ht="14.25" customHeight="1" x14ac:dyDescent="0.2">
      <c r="A42" s="134" t="s">
        <v>78</v>
      </c>
      <c r="B42" s="130"/>
      <c r="C42" s="130" t="s">
        <v>29</v>
      </c>
      <c r="D42" s="130"/>
      <c r="E42" s="130"/>
      <c r="F42" s="130"/>
      <c r="G42" s="130"/>
      <c r="H42" s="162" t="s">
        <v>45</v>
      </c>
      <c r="I42" s="162"/>
      <c r="J42" s="162"/>
      <c r="K42" s="162"/>
      <c r="L42" s="162"/>
      <c r="M42" s="43"/>
      <c r="N42" s="43"/>
      <c r="O42" s="43"/>
      <c r="P42" s="51"/>
      <c r="Q42" s="51"/>
      <c r="R42" s="51"/>
      <c r="S42" s="51"/>
      <c r="T42" s="51"/>
      <c r="U42" s="51"/>
      <c r="V42" s="51"/>
      <c r="W42" s="51"/>
      <c r="X42" s="51"/>
      <c r="Y42" s="51"/>
      <c r="Z42" s="51"/>
      <c r="AA42" s="51"/>
      <c r="AB42" s="51"/>
      <c r="AC42" s="51"/>
      <c r="AD42" s="51"/>
      <c r="AE42" s="51"/>
      <c r="AF42" s="51"/>
      <c r="AG42" s="51"/>
      <c r="AH42" s="51"/>
      <c r="AI42" s="51"/>
      <c r="AJ42" s="130" t="s">
        <v>19</v>
      </c>
      <c r="AK42" s="130"/>
      <c r="AL42" s="131"/>
    </row>
    <row r="43" spans="1:38" s="4" customFormat="1" ht="34.5" customHeight="1" x14ac:dyDescent="0.2">
      <c r="A43" s="132"/>
      <c r="B43" s="86"/>
      <c r="C43" s="86"/>
      <c r="D43" s="86"/>
      <c r="E43" s="86"/>
      <c r="F43" s="86"/>
      <c r="G43" s="86"/>
      <c r="H43" s="86"/>
      <c r="I43" s="86"/>
      <c r="J43" s="86"/>
      <c r="K43" s="86"/>
      <c r="L43" s="86"/>
      <c r="M43" s="44"/>
      <c r="N43" s="44"/>
      <c r="O43" s="44"/>
      <c r="P43" s="45"/>
      <c r="Q43" s="45"/>
      <c r="R43" s="45"/>
      <c r="S43" s="45"/>
      <c r="T43" s="45"/>
      <c r="U43" s="45"/>
      <c r="V43" s="45"/>
      <c r="W43" s="45"/>
      <c r="X43" s="45"/>
      <c r="Y43" s="45"/>
      <c r="Z43" s="45"/>
      <c r="AA43" s="45"/>
      <c r="AB43" s="45"/>
      <c r="AC43" s="45"/>
      <c r="AD43" s="45"/>
      <c r="AE43" s="45"/>
      <c r="AF43" s="45"/>
      <c r="AG43" s="45"/>
      <c r="AH43" s="45"/>
      <c r="AI43" s="45"/>
      <c r="AJ43" s="86"/>
      <c r="AK43" s="86"/>
      <c r="AL43" s="133"/>
    </row>
    <row r="44" spans="1:38" s="10" customFormat="1" ht="39" customHeight="1" x14ac:dyDescent="0.25">
      <c r="A44" s="128"/>
      <c r="B44" s="129"/>
      <c r="C44" s="129"/>
      <c r="D44" s="129"/>
      <c r="E44" s="129"/>
      <c r="F44" s="129"/>
      <c r="G44" s="129"/>
      <c r="H44" s="126" t="str">
        <f>Kapak!$D$18</f>
        <v xml:space="preserve">Neslinur Sinem KAVAK
Yol ve Yapı Malzemeleri Şefi
</v>
      </c>
      <c r="I44" s="126"/>
      <c r="J44" s="126"/>
      <c r="K44" s="126"/>
      <c r="L44" s="126"/>
      <c r="M44" s="62"/>
      <c r="N44" s="62"/>
      <c r="O44" s="62"/>
      <c r="P44" s="50"/>
      <c r="Q44" s="50"/>
      <c r="R44" s="50"/>
      <c r="S44" s="50"/>
      <c r="T44" s="50"/>
      <c r="U44" s="50"/>
      <c r="V44" s="50"/>
      <c r="W44" s="50"/>
      <c r="X44" s="50"/>
      <c r="Y44" s="50"/>
      <c r="Z44" s="50"/>
      <c r="AA44" s="50"/>
      <c r="AB44" s="50"/>
      <c r="AC44" s="50"/>
      <c r="AD44" s="50"/>
      <c r="AE44" s="50"/>
      <c r="AF44" s="50"/>
      <c r="AG44" s="50"/>
      <c r="AH44" s="50"/>
      <c r="AI44" s="50"/>
      <c r="AJ44" s="126" t="str">
        <f>Kapak!$I$18</f>
        <v xml:space="preserve">Mehmet TOKGÖZ
Araştırma ve Geliştirme Başmühendisi
</v>
      </c>
      <c r="AK44" s="126"/>
      <c r="AL44" s="127"/>
    </row>
    <row r="45" spans="1:38" s="4" customFormat="1" ht="98.25" customHeight="1" x14ac:dyDescent="0.2">
      <c r="A45" s="159" t="s">
        <v>31</v>
      </c>
      <c r="B45" s="159"/>
      <c r="C45" s="159"/>
      <c r="D45" s="159"/>
      <c r="E45" s="160" t="s">
        <v>52</v>
      </c>
      <c r="F45" s="160"/>
      <c r="G45" s="160"/>
      <c r="H45" s="160"/>
      <c r="I45" s="160"/>
      <c r="J45" s="160"/>
      <c r="K45" s="160"/>
      <c r="L45" s="161" t="s">
        <v>43</v>
      </c>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row>
    <row r="46" spans="1:38" ht="14.25" customHeight="1" x14ac:dyDescent="0.2"/>
    <row r="47" spans="1:38" ht="7.5" customHeight="1" x14ac:dyDescent="0.2"/>
    <row r="48" spans="1:38" ht="14.25" hidden="1" x14ac:dyDescent="0.2"/>
    <row r="49" ht="14.25" hidden="1" x14ac:dyDescent="0.2"/>
    <row r="50" ht="14.25" hidden="1" x14ac:dyDescent="0.2"/>
    <row r="51" ht="14.25" hidden="1" x14ac:dyDescent="0.2"/>
    <row r="52" ht="14.25" hidden="1" x14ac:dyDescent="0.2"/>
    <row r="53" ht="14.25" hidden="1" x14ac:dyDescent="0.2"/>
    <row r="54" ht="14.25" hidden="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row r="64" ht="14.25" customHeight="1" x14ac:dyDescent="0.2"/>
    <row r="65" ht="14.25" customHeight="1" x14ac:dyDescent="0.2"/>
    <row r="66" ht="0" hidden="1" customHeight="1" x14ac:dyDescent="0.2"/>
  </sheetData>
  <sheetProtection algorithmName="SHA-512" hashValue="+K30SL1EO5a43VioOCb5x2pf+FtJ9XwaZQOwNQ+5mjolvBqABqWf21MpzTCQU+hEMFABY1pYXj3rJws5zWBzyw==" saltValue="GUga/F/V8YkdlbeT04yGlQ==" spinCount="100000" sheet="1"/>
  <mergeCells count="366">
    <mergeCell ref="A29:A31"/>
    <mergeCell ref="A45:D45"/>
    <mergeCell ref="E45:K45"/>
    <mergeCell ref="L45:AL45"/>
    <mergeCell ref="C43:G43"/>
    <mergeCell ref="H41:L41"/>
    <mergeCell ref="H42:L42"/>
    <mergeCell ref="H43:L43"/>
    <mergeCell ref="AL7:AL13"/>
    <mergeCell ref="A24:B24"/>
    <mergeCell ref="A25:B25"/>
    <mergeCell ref="AJ37:AK37"/>
    <mergeCell ref="X37:Z37"/>
    <mergeCell ref="AA37:AC37"/>
    <mergeCell ref="AD37:AF37"/>
    <mergeCell ref="AG37:AI37"/>
    <mergeCell ref="A40:B40"/>
    <mergeCell ref="C40:AL40"/>
    <mergeCell ref="C37:E37"/>
    <mergeCell ref="F37:H37"/>
    <mergeCell ref="I37:K37"/>
    <mergeCell ref="C41:G41"/>
    <mergeCell ref="C42:G42"/>
    <mergeCell ref="C33:E33"/>
    <mergeCell ref="A27:A28"/>
    <mergeCell ref="AG28:AI28"/>
    <mergeCell ref="AG29:AI29"/>
    <mergeCell ref="AA24:AC24"/>
    <mergeCell ref="AD24:AF24"/>
    <mergeCell ref="A41:B41"/>
    <mergeCell ref="AD36:AF36"/>
    <mergeCell ref="AG33:AI33"/>
    <mergeCell ref="L37:N37"/>
    <mergeCell ref="O37:Q37"/>
    <mergeCell ref="C36:E36"/>
    <mergeCell ref="F36:H36"/>
    <mergeCell ref="I36:K36"/>
    <mergeCell ref="L36:N36"/>
    <mergeCell ref="O36:Q36"/>
    <mergeCell ref="R36:T36"/>
    <mergeCell ref="U36:W36"/>
    <mergeCell ref="AG36:AI36"/>
    <mergeCell ref="R37:T37"/>
    <mergeCell ref="U37:W37"/>
    <mergeCell ref="R33:T33"/>
    <mergeCell ref="X38:Z38"/>
    <mergeCell ref="AA38:AC38"/>
    <mergeCell ref="AD38:AF38"/>
    <mergeCell ref="AG38:AI38"/>
    <mergeCell ref="L29:N29"/>
    <mergeCell ref="O29:Q29"/>
    <mergeCell ref="R28:T28"/>
    <mergeCell ref="L28:N28"/>
    <mergeCell ref="O28:Q28"/>
    <mergeCell ref="AJ38:AK38"/>
    <mergeCell ref="AJ39:AK39"/>
    <mergeCell ref="AJ7:AK13"/>
    <mergeCell ref="AA12:AC12"/>
    <mergeCell ref="AG12:AI12"/>
    <mergeCell ref="AJ27:AK27"/>
    <mergeCell ref="X39:Z39"/>
    <mergeCell ref="AA39:AC39"/>
    <mergeCell ref="AD39:AF39"/>
    <mergeCell ref="AG39:AI39"/>
    <mergeCell ref="AJ26:AK26"/>
    <mergeCell ref="AJ28:AK28"/>
    <mergeCell ref="AJ29:AK29"/>
    <mergeCell ref="AJ30:AK30"/>
    <mergeCell ref="AJ31:AK31"/>
    <mergeCell ref="AJ32:AK32"/>
    <mergeCell ref="AJ34:AK34"/>
    <mergeCell ref="AJ35:AK35"/>
    <mergeCell ref="X36:Z36"/>
    <mergeCell ref="X28:Z28"/>
    <mergeCell ref="AA28:AC28"/>
    <mergeCell ref="AD28:AF28"/>
    <mergeCell ref="R29:T29"/>
    <mergeCell ref="U29:W29"/>
    <mergeCell ref="X29:Z29"/>
    <mergeCell ref="AA29:AC29"/>
    <mergeCell ref="AD29:AF29"/>
    <mergeCell ref="U28:W28"/>
    <mergeCell ref="U26:W26"/>
    <mergeCell ref="X26:Z26"/>
    <mergeCell ref="AA26:AC26"/>
    <mergeCell ref="AD26:AF26"/>
    <mergeCell ref="AG26:AI26"/>
    <mergeCell ref="F26:H26"/>
    <mergeCell ref="I26:K26"/>
    <mergeCell ref="L26:N26"/>
    <mergeCell ref="O26:Q26"/>
    <mergeCell ref="R26:T26"/>
    <mergeCell ref="U27:W27"/>
    <mergeCell ref="X27:Z27"/>
    <mergeCell ref="AA27:AC27"/>
    <mergeCell ref="AD27:AF27"/>
    <mergeCell ref="AG27:AI27"/>
    <mergeCell ref="F27:H27"/>
    <mergeCell ref="I27:K27"/>
    <mergeCell ref="L27:N27"/>
    <mergeCell ref="O27:Q27"/>
    <mergeCell ref="R27:T27"/>
    <mergeCell ref="AG24:AI24"/>
    <mergeCell ref="F25:H25"/>
    <mergeCell ref="I25:K25"/>
    <mergeCell ref="L25:N25"/>
    <mergeCell ref="O25:Q25"/>
    <mergeCell ref="R25:T25"/>
    <mergeCell ref="U25:W25"/>
    <mergeCell ref="X25:Z25"/>
    <mergeCell ref="AA25:AC25"/>
    <mergeCell ref="AD25:AF25"/>
    <mergeCell ref="AG25:AI25"/>
    <mergeCell ref="L24:N24"/>
    <mergeCell ref="O24:Q24"/>
    <mergeCell ref="R24:T24"/>
    <mergeCell ref="U24:W24"/>
    <mergeCell ref="X24:Z24"/>
    <mergeCell ref="F24:H24"/>
    <mergeCell ref="I24:K24"/>
    <mergeCell ref="AA22:AC22"/>
    <mergeCell ref="AD22:AF22"/>
    <mergeCell ref="AG22:AI22"/>
    <mergeCell ref="F23:H23"/>
    <mergeCell ref="I23:K23"/>
    <mergeCell ref="L23:N23"/>
    <mergeCell ref="O23:Q23"/>
    <mergeCell ref="R23:T23"/>
    <mergeCell ref="U23:W23"/>
    <mergeCell ref="X23:Z23"/>
    <mergeCell ref="AA23:AC23"/>
    <mergeCell ref="AD23:AF23"/>
    <mergeCell ref="AG23:AI23"/>
    <mergeCell ref="L22:N22"/>
    <mergeCell ref="O22:Q22"/>
    <mergeCell ref="R22:T22"/>
    <mergeCell ref="U22:W22"/>
    <mergeCell ref="X22:Z22"/>
    <mergeCell ref="X17:Z17"/>
    <mergeCell ref="L18:N18"/>
    <mergeCell ref="O18:Q18"/>
    <mergeCell ref="AA19:AC19"/>
    <mergeCell ref="AD19:AF19"/>
    <mergeCell ref="AG19:AI19"/>
    <mergeCell ref="U21:W21"/>
    <mergeCell ref="X21:Z21"/>
    <mergeCell ref="AA21:AC21"/>
    <mergeCell ref="AD21:AF21"/>
    <mergeCell ref="AG21:AI21"/>
    <mergeCell ref="L19:N19"/>
    <mergeCell ref="O19:Q19"/>
    <mergeCell ref="R19:T19"/>
    <mergeCell ref="U19:W19"/>
    <mergeCell ref="X19:Z19"/>
    <mergeCell ref="U20:W20"/>
    <mergeCell ref="X20:Z20"/>
    <mergeCell ref="AA20:AC20"/>
    <mergeCell ref="AD20:AF20"/>
    <mergeCell ref="AG20:AI20"/>
    <mergeCell ref="L20:N20"/>
    <mergeCell ref="O20:Q20"/>
    <mergeCell ref="R20:T20"/>
    <mergeCell ref="C29:E29"/>
    <mergeCell ref="F29:H29"/>
    <mergeCell ref="I29:K29"/>
    <mergeCell ref="F12:H12"/>
    <mergeCell ref="I12:K12"/>
    <mergeCell ref="I15:K15"/>
    <mergeCell ref="F17:H17"/>
    <mergeCell ref="I17:K17"/>
    <mergeCell ref="F19:H19"/>
    <mergeCell ref="I19:K19"/>
    <mergeCell ref="F22:H22"/>
    <mergeCell ref="I22:K22"/>
    <mergeCell ref="F16:H16"/>
    <mergeCell ref="I16:K16"/>
    <mergeCell ref="C28:E28"/>
    <mergeCell ref="F28:H28"/>
    <mergeCell ref="I28:K28"/>
    <mergeCell ref="F18:H18"/>
    <mergeCell ref="I18:K18"/>
    <mergeCell ref="F15:H15"/>
    <mergeCell ref="F14:H14"/>
    <mergeCell ref="I14:K14"/>
    <mergeCell ref="F20:H20"/>
    <mergeCell ref="I20:K20"/>
    <mergeCell ref="C27:E27"/>
    <mergeCell ref="C26:E26"/>
    <mergeCell ref="L12:N12"/>
    <mergeCell ref="O12:Q12"/>
    <mergeCell ref="R12:T12"/>
    <mergeCell ref="L21:N21"/>
    <mergeCell ref="O21:Q21"/>
    <mergeCell ref="R21:T21"/>
    <mergeCell ref="C22:E22"/>
    <mergeCell ref="C23:E23"/>
    <mergeCell ref="C24:E24"/>
    <mergeCell ref="F21:H21"/>
    <mergeCell ref="I21:K21"/>
    <mergeCell ref="L16:N16"/>
    <mergeCell ref="O16:Q16"/>
    <mergeCell ref="R16:T16"/>
    <mergeCell ref="C12:E12"/>
    <mergeCell ref="C14:E14"/>
    <mergeCell ref="L17:N17"/>
    <mergeCell ref="O17:Q17"/>
    <mergeCell ref="R17:T17"/>
    <mergeCell ref="A14:B14"/>
    <mergeCell ref="A15:B15"/>
    <mergeCell ref="A19:B19"/>
    <mergeCell ref="C15:E15"/>
    <mergeCell ref="C16:E16"/>
    <mergeCell ref="C17:E17"/>
    <mergeCell ref="C18:E18"/>
    <mergeCell ref="C19:E19"/>
    <mergeCell ref="C21:E21"/>
    <mergeCell ref="A21:A22"/>
    <mergeCell ref="B21:B22"/>
    <mergeCell ref="A20:B20"/>
    <mergeCell ref="A16:B16"/>
    <mergeCell ref="L14:N14"/>
    <mergeCell ref="O14:Q14"/>
    <mergeCell ref="L15:N15"/>
    <mergeCell ref="O15:Q15"/>
    <mergeCell ref="AJ33:AK33"/>
    <mergeCell ref="AJ36:AK36"/>
    <mergeCell ref="F33:H33"/>
    <mergeCell ref="I33:K33"/>
    <mergeCell ref="L33:N33"/>
    <mergeCell ref="O33:Q33"/>
    <mergeCell ref="AJ24:AK24"/>
    <mergeCell ref="AJ25:AK25"/>
    <mergeCell ref="AJ20:AK20"/>
    <mergeCell ref="AD14:AF14"/>
    <mergeCell ref="AD16:AF16"/>
    <mergeCell ref="AD18:AF18"/>
    <mergeCell ref="AG14:AI14"/>
    <mergeCell ref="AG16:AI16"/>
    <mergeCell ref="AA17:AC17"/>
    <mergeCell ref="AD17:AF17"/>
    <mergeCell ref="AG17:AI17"/>
    <mergeCell ref="AA16:AC16"/>
    <mergeCell ref="AG18:AI18"/>
    <mergeCell ref="U17:W17"/>
    <mergeCell ref="AJ44:AL44"/>
    <mergeCell ref="A44:B44"/>
    <mergeCell ref="C44:G44"/>
    <mergeCell ref="H44:L44"/>
    <mergeCell ref="AJ42:AL42"/>
    <mergeCell ref="A43:B43"/>
    <mergeCell ref="AJ43:AL43"/>
    <mergeCell ref="A42:B42"/>
    <mergeCell ref="AJ41:AL41"/>
    <mergeCell ref="AL38:AL39"/>
    <mergeCell ref="A39:B39"/>
    <mergeCell ref="C39:E39"/>
    <mergeCell ref="C38:E38"/>
    <mergeCell ref="F39:H39"/>
    <mergeCell ref="A38:B38"/>
    <mergeCell ref="U33:W33"/>
    <mergeCell ref="X33:Z33"/>
    <mergeCell ref="AA33:AC33"/>
    <mergeCell ref="U39:W39"/>
    <mergeCell ref="F38:H38"/>
    <mergeCell ref="I38:K38"/>
    <mergeCell ref="L38:N38"/>
    <mergeCell ref="O38:Q38"/>
    <mergeCell ref="R38:T38"/>
    <mergeCell ref="U38:W38"/>
    <mergeCell ref="AD33:AF33"/>
    <mergeCell ref="AA36:AC36"/>
    <mergeCell ref="I39:K39"/>
    <mergeCell ref="L39:N39"/>
    <mergeCell ref="O39:Q39"/>
    <mergeCell ref="R39:T39"/>
    <mergeCell ref="A32:A33"/>
    <mergeCell ref="C25:E25"/>
    <mergeCell ref="C20:E20"/>
    <mergeCell ref="AA9:AC9"/>
    <mergeCell ref="X9:Z9"/>
    <mergeCell ref="X10:Z10"/>
    <mergeCell ref="X11:Z11"/>
    <mergeCell ref="X12:Z12"/>
    <mergeCell ref="L9:N9"/>
    <mergeCell ref="O9:Q9"/>
    <mergeCell ref="R9:T9"/>
    <mergeCell ref="AA10:AC10"/>
    <mergeCell ref="AA11:AC11"/>
    <mergeCell ref="R10:T10"/>
    <mergeCell ref="U16:W16"/>
    <mergeCell ref="X16:Z16"/>
    <mergeCell ref="R18:T18"/>
    <mergeCell ref="U18:W18"/>
    <mergeCell ref="X18:Z18"/>
    <mergeCell ref="AA18:AC18"/>
    <mergeCell ref="U9:W9"/>
    <mergeCell ref="U10:W10"/>
    <mergeCell ref="U11:W11"/>
    <mergeCell ref="U12:W12"/>
    <mergeCell ref="X15:Z15"/>
    <mergeCell ref="AG11:AI11"/>
    <mergeCell ref="C7:AI7"/>
    <mergeCell ref="C8:AI8"/>
    <mergeCell ref="C10:E10"/>
    <mergeCell ref="F10:H10"/>
    <mergeCell ref="I10:K10"/>
    <mergeCell ref="L10:N10"/>
    <mergeCell ref="O10:Q10"/>
    <mergeCell ref="C9:E9"/>
    <mergeCell ref="AG9:AI9"/>
    <mergeCell ref="AG10:AI10"/>
    <mergeCell ref="AD9:AF9"/>
    <mergeCell ref="AD10:AF10"/>
    <mergeCell ref="AD11:AF11"/>
    <mergeCell ref="F11:H11"/>
    <mergeCell ref="I11:K11"/>
    <mergeCell ref="L11:N11"/>
    <mergeCell ref="O11:Q11"/>
    <mergeCell ref="R11:T11"/>
    <mergeCell ref="C11:E11"/>
    <mergeCell ref="AD12:AF12"/>
    <mergeCell ref="AA15:AC15"/>
    <mergeCell ref="AD15:AF15"/>
    <mergeCell ref="A3:A4"/>
    <mergeCell ref="A1:A2"/>
    <mergeCell ref="A11:B11"/>
    <mergeCell ref="A12:B12"/>
    <mergeCell ref="B1:AK4"/>
    <mergeCell ref="A6:B6"/>
    <mergeCell ref="C6:AL6"/>
    <mergeCell ref="A7:B7"/>
    <mergeCell ref="A8:B8"/>
    <mergeCell ref="A9:B9"/>
    <mergeCell ref="A10:B10"/>
    <mergeCell ref="A13:B13"/>
    <mergeCell ref="AG15:AI15"/>
    <mergeCell ref="R14:T14"/>
    <mergeCell ref="U14:W14"/>
    <mergeCell ref="X14:Z14"/>
    <mergeCell ref="AA14:AC14"/>
    <mergeCell ref="F9:H9"/>
    <mergeCell ref="I9:K9"/>
    <mergeCell ref="R15:T15"/>
    <mergeCell ref="U15:W15"/>
    <mergeCell ref="AL14:AL20"/>
    <mergeCell ref="AL21:AL23"/>
    <mergeCell ref="AL24:AL25"/>
    <mergeCell ref="A34:A37"/>
    <mergeCell ref="C13:E13"/>
    <mergeCell ref="F13:H13"/>
    <mergeCell ref="I13:K13"/>
    <mergeCell ref="L13:N13"/>
    <mergeCell ref="O13:Q13"/>
    <mergeCell ref="R13:T13"/>
    <mergeCell ref="U13:W13"/>
    <mergeCell ref="X13:Z13"/>
    <mergeCell ref="AA13:AC13"/>
    <mergeCell ref="AD13:AF13"/>
    <mergeCell ref="AG13:AI13"/>
    <mergeCell ref="AL26:AL37"/>
    <mergeCell ref="AJ19:AK19"/>
    <mergeCell ref="A17:B17"/>
    <mergeCell ref="A18:B18"/>
    <mergeCell ref="AJ21:AK21"/>
    <mergeCell ref="AJ22:AK22"/>
    <mergeCell ref="AJ23:AK23"/>
  </mergeCells>
  <printOptions horizontalCentered="1" verticalCentered="1"/>
  <pageMargins left="0.19685039370078741" right="0.19685039370078741" top="0.19685039370078741" bottom="0.19685039370078741" header="0" footer="0"/>
  <pageSetup paperSize="9" scale="89"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Kaynak!$A$1:$A$2</xm:f>
          </x14:formula1>
          <xm:sqref>AL26 AL38:AL39</xm:sqref>
        </x14:dataValidation>
        <x14:dataValidation type="list" allowBlank="1" showInputMessage="1" showErrorMessage="1" xr:uid="{00000000-0002-0000-0100-000001000000}">
          <x14:formula1>
            <xm:f>Kaynak!$D$1:$D$5</xm:f>
          </x14:formula1>
          <xm:sqref>C27:AI27</xm:sqref>
        </x14:dataValidation>
        <x14:dataValidation type="list" allowBlank="1" showInputMessage="1" showErrorMessage="1" xr:uid="{00000000-0002-0000-0100-000002000000}">
          <x14:formula1>
            <xm:f>Kaynak!$C$1:$C$3</xm:f>
          </x14:formula1>
          <xm:sqref>C28:AI28</xm:sqref>
        </x14:dataValidation>
        <x14:dataValidation type="list" allowBlank="1" showInputMessage="1" showErrorMessage="1" xr:uid="{00000000-0002-0000-0100-000003000000}">
          <x14:formula1>
            <xm:f>Kaynak!$E$1:$E$3</xm:f>
          </x14:formula1>
          <xm:sqref>B21:B23</xm:sqref>
        </x14:dataValidation>
        <x14:dataValidation type="list" allowBlank="1" showInputMessage="1" showErrorMessage="1" xr:uid="{00000000-0002-0000-0100-000004000000}">
          <x14:formula1>
            <xm:f>Kaynak!$B$1:$B$3</xm:f>
          </x14:formula1>
          <xm:sqref>C29:AI29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Dolgu">
    <tabColor theme="9" tint="-0.249977111117893"/>
    <pageSetUpPr fitToPage="1"/>
  </sheetPr>
  <dimension ref="A1:AM63"/>
  <sheetViews>
    <sheetView zoomScale="85" zoomScaleNormal="85" zoomScaleSheetLayoutView="100" workbookViewId="0">
      <selection activeCell="C9" sqref="C9:E9"/>
    </sheetView>
  </sheetViews>
  <sheetFormatPr defaultColWidth="9.140625" defaultRowHeight="0" customHeight="1" zeroHeight="1" x14ac:dyDescent="0.2"/>
  <cols>
    <col min="1" max="1" width="15.85546875" style="2" customWidth="1"/>
    <col min="2" max="2" width="15.42578125" style="2" customWidth="1"/>
    <col min="3" max="14" width="4.7109375" style="5" customWidth="1"/>
    <col min="15" max="35" width="4.7109375" style="5" hidden="1" customWidth="1"/>
    <col min="36" max="36" width="7.85546875" style="2" customWidth="1"/>
    <col min="37" max="37" width="6.5703125" style="2" customWidth="1"/>
    <col min="38" max="38" width="12.140625" style="2" customWidth="1"/>
    <col min="39" max="16384" width="9.140625" style="4"/>
  </cols>
  <sheetData>
    <row r="1" spans="1:38" ht="22.5" customHeight="1" x14ac:dyDescent="0.2">
      <c r="A1" s="112">
        <v>2</v>
      </c>
      <c r="B1" s="114" t="s">
        <v>28</v>
      </c>
      <c r="C1" s="114"/>
      <c r="D1" s="114"/>
      <c r="E1" s="114"/>
      <c r="F1" s="114"/>
      <c r="G1" s="114"/>
      <c r="H1" s="114"/>
      <c r="I1" s="114"/>
      <c r="J1" s="114"/>
      <c r="K1" s="114"/>
      <c r="L1" s="114"/>
      <c r="M1" s="114"/>
      <c r="N1" s="114"/>
      <c r="O1" s="114"/>
      <c r="P1" s="114"/>
      <c r="Q1" s="114"/>
      <c r="R1" s="114"/>
      <c r="S1" s="114"/>
      <c r="T1" s="114"/>
      <c r="U1" s="114"/>
      <c r="V1" s="114"/>
      <c r="W1" s="114"/>
      <c r="X1" s="114"/>
      <c r="Y1" s="114"/>
      <c r="Z1" s="114"/>
      <c r="AA1" s="114"/>
      <c r="AB1" s="114"/>
      <c r="AC1" s="114"/>
      <c r="AD1" s="114"/>
      <c r="AE1" s="114"/>
      <c r="AF1" s="114"/>
      <c r="AG1" s="114"/>
      <c r="AH1" s="114"/>
      <c r="AI1" s="114"/>
      <c r="AJ1" s="114"/>
      <c r="AK1" s="115"/>
      <c r="AL1" s="16" t="s">
        <v>0</v>
      </c>
    </row>
    <row r="2" spans="1:38" ht="11.25" customHeight="1" x14ac:dyDescent="0.2">
      <c r="A2" s="112"/>
      <c r="B2" s="114"/>
      <c r="C2" s="114"/>
      <c r="D2" s="114"/>
      <c r="E2" s="114"/>
      <c r="F2" s="114"/>
      <c r="G2" s="114"/>
      <c r="H2" s="114"/>
      <c r="I2" s="114"/>
      <c r="J2" s="114"/>
      <c r="K2" s="114"/>
      <c r="L2" s="114"/>
      <c r="M2" s="114"/>
      <c r="N2" s="114"/>
      <c r="O2" s="114"/>
      <c r="P2" s="114"/>
      <c r="Q2" s="114"/>
      <c r="R2" s="114"/>
      <c r="S2" s="114"/>
      <c r="T2" s="114"/>
      <c r="U2" s="114"/>
      <c r="V2" s="114"/>
      <c r="W2" s="114"/>
      <c r="X2" s="114"/>
      <c r="Y2" s="114"/>
      <c r="Z2" s="114"/>
      <c r="AA2" s="114"/>
      <c r="AB2" s="114"/>
      <c r="AC2" s="114"/>
      <c r="AD2" s="114"/>
      <c r="AE2" s="114"/>
      <c r="AF2" s="114"/>
      <c r="AG2" s="114"/>
      <c r="AH2" s="114"/>
      <c r="AI2" s="114"/>
      <c r="AJ2" s="114"/>
      <c r="AK2" s="115"/>
      <c r="AL2" s="32">
        <f>Kapak!L3</f>
        <v>0</v>
      </c>
    </row>
    <row r="3" spans="1:38" ht="11.25" customHeight="1" x14ac:dyDescent="0.2">
      <c r="A3" s="111" t="str">
        <f>"Sayfa "&amp;A1&amp;" / "&amp;Kapak!E14&amp;CHAR(10)&amp;"Page "&amp;A1&amp;" of "&amp;Kapak!E14</f>
        <v xml:space="preserve">Sayfa 2 / 
Page 2 of </v>
      </c>
      <c r="B3" s="114"/>
      <c r="C3" s="114"/>
      <c r="D3" s="114"/>
      <c r="E3" s="114"/>
      <c r="F3" s="114"/>
      <c r="G3" s="114"/>
      <c r="H3" s="114"/>
      <c r="I3" s="114"/>
      <c r="J3" s="114"/>
      <c r="K3" s="114"/>
      <c r="L3" s="114"/>
      <c r="M3" s="114"/>
      <c r="N3" s="114"/>
      <c r="O3" s="114"/>
      <c r="P3" s="114"/>
      <c r="Q3" s="114"/>
      <c r="R3" s="114"/>
      <c r="S3" s="114"/>
      <c r="T3" s="114"/>
      <c r="U3" s="114"/>
      <c r="V3" s="114"/>
      <c r="W3" s="114"/>
      <c r="X3" s="114"/>
      <c r="Y3" s="114"/>
      <c r="Z3" s="114"/>
      <c r="AA3" s="114"/>
      <c r="AB3" s="114"/>
      <c r="AC3" s="114"/>
      <c r="AD3" s="114"/>
      <c r="AE3" s="114"/>
      <c r="AF3" s="114"/>
      <c r="AG3" s="114"/>
      <c r="AH3" s="114"/>
      <c r="AI3" s="114"/>
      <c r="AJ3" s="114"/>
      <c r="AK3" s="115"/>
      <c r="AL3" s="33">
        <f>Kapak!$L$4</f>
        <v>0</v>
      </c>
    </row>
    <row r="4" spans="1:38" ht="22.5" customHeight="1" x14ac:dyDescent="0.2">
      <c r="A4" s="111"/>
      <c r="B4" s="114"/>
      <c r="C4" s="114"/>
      <c r="D4" s="114"/>
      <c r="E4" s="114"/>
      <c r="F4" s="114"/>
      <c r="G4" s="114"/>
      <c r="H4" s="114"/>
      <c r="I4" s="114"/>
      <c r="J4" s="114"/>
      <c r="K4" s="114"/>
      <c r="L4" s="114"/>
      <c r="M4" s="114"/>
      <c r="N4" s="114"/>
      <c r="O4" s="114"/>
      <c r="P4" s="114"/>
      <c r="Q4" s="114"/>
      <c r="R4" s="114"/>
      <c r="S4" s="114"/>
      <c r="T4" s="114"/>
      <c r="U4" s="114"/>
      <c r="V4" s="114"/>
      <c r="W4" s="114"/>
      <c r="X4" s="114"/>
      <c r="Y4" s="114"/>
      <c r="Z4" s="114"/>
      <c r="AA4" s="114"/>
      <c r="AB4" s="114"/>
      <c r="AC4" s="114"/>
      <c r="AD4" s="114"/>
      <c r="AE4" s="114"/>
      <c r="AF4" s="114"/>
      <c r="AG4" s="114"/>
      <c r="AH4" s="114"/>
      <c r="AI4" s="114"/>
      <c r="AJ4" s="114"/>
      <c r="AK4" s="115"/>
      <c r="AL4" s="34">
        <f>Kapak!$L$5</f>
        <v>0</v>
      </c>
    </row>
    <row r="5" spans="1:38" s="1" customFormat="1" ht="3" customHeight="1" x14ac:dyDescent="0.2">
      <c r="A5" s="31"/>
      <c r="B5" s="30"/>
      <c r="C5" s="30"/>
      <c r="D5" s="30"/>
      <c r="E5" s="30"/>
      <c r="F5" s="30"/>
      <c r="G5" s="30"/>
      <c r="H5" s="30"/>
      <c r="I5" s="30"/>
      <c r="J5" s="30"/>
      <c r="K5" s="30"/>
      <c r="L5" s="30"/>
      <c r="M5" s="30"/>
      <c r="N5" s="30"/>
      <c r="O5" s="30"/>
      <c r="P5" s="30"/>
      <c r="Q5" s="30"/>
      <c r="R5" s="30"/>
      <c r="S5" s="30"/>
      <c r="T5" s="30"/>
      <c r="U5" s="30"/>
      <c r="V5" s="30"/>
      <c r="W5" s="30"/>
      <c r="X5" s="30"/>
      <c r="Y5" s="30"/>
      <c r="Z5" s="30"/>
      <c r="AA5" s="30"/>
      <c r="AB5" s="30"/>
      <c r="AC5" s="30"/>
      <c r="AD5" s="30"/>
      <c r="AE5" s="30"/>
      <c r="AF5" s="30"/>
      <c r="AG5" s="30"/>
      <c r="AH5" s="30"/>
      <c r="AI5" s="30"/>
      <c r="AJ5" s="30"/>
      <c r="AK5" s="30"/>
      <c r="AL5" s="14"/>
    </row>
    <row r="6" spans="1:38" ht="38.25" customHeight="1" x14ac:dyDescent="0.2">
      <c r="A6" s="105" t="s">
        <v>3</v>
      </c>
      <c r="B6" s="106"/>
      <c r="C6" s="116">
        <f>Kapak!$E$7</f>
        <v>0</v>
      </c>
      <c r="D6" s="117"/>
      <c r="E6" s="117"/>
      <c r="F6" s="117"/>
      <c r="G6" s="117"/>
      <c r="H6" s="117"/>
      <c r="I6" s="117"/>
      <c r="J6" s="117"/>
      <c r="K6" s="117"/>
      <c r="L6" s="117"/>
      <c r="M6" s="117"/>
      <c r="N6" s="117"/>
      <c r="O6" s="117"/>
      <c r="P6" s="117"/>
      <c r="Q6" s="117"/>
      <c r="R6" s="117"/>
      <c r="S6" s="117"/>
      <c r="T6" s="117"/>
      <c r="U6" s="117"/>
      <c r="V6" s="117"/>
      <c r="W6" s="117"/>
      <c r="X6" s="117"/>
      <c r="Y6" s="117"/>
      <c r="Z6" s="117"/>
      <c r="AA6" s="117"/>
      <c r="AB6" s="117"/>
      <c r="AC6" s="117"/>
      <c r="AD6" s="117"/>
      <c r="AE6" s="117"/>
      <c r="AF6" s="117"/>
      <c r="AG6" s="117"/>
      <c r="AH6" s="117"/>
      <c r="AI6" s="117"/>
      <c r="AJ6" s="117"/>
      <c r="AK6" s="117"/>
      <c r="AL6" s="118"/>
    </row>
    <row r="7" spans="1:38" ht="14.25" customHeight="1" x14ac:dyDescent="0.2">
      <c r="A7" s="105" t="s">
        <v>27</v>
      </c>
      <c r="B7" s="106"/>
      <c r="C7" s="121" t="s">
        <v>46</v>
      </c>
      <c r="D7" s="122"/>
      <c r="E7" s="122"/>
      <c r="F7" s="122"/>
      <c r="G7" s="122"/>
      <c r="H7" s="122"/>
      <c r="I7" s="122"/>
      <c r="J7" s="122"/>
      <c r="K7" s="122"/>
      <c r="L7" s="122"/>
      <c r="M7" s="122"/>
      <c r="N7" s="122"/>
      <c r="O7" s="122"/>
      <c r="P7" s="122"/>
      <c r="Q7" s="122"/>
      <c r="R7" s="122"/>
      <c r="S7" s="122"/>
      <c r="T7" s="122"/>
      <c r="U7" s="122"/>
      <c r="V7" s="122"/>
      <c r="W7" s="122"/>
      <c r="X7" s="122"/>
      <c r="Y7" s="122"/>
      <c r="Z7" s="122"/>
      <c r="AA7" s="122"/>
      <c r="AB7" s="122"/>
      <c r="AC7" s="122"/>
      <c r="AD7" s="122"/>
      <c r="AE7" s="122"/>
      <c r="AF7" s="122"/>
      <c r="AG7" s="122"/>
      <c r="AH7" s="122"/>
      <c r="AI7" s="122"/>
      <c r="AJ7" s="180" t="s">
        <v>99</v>
      </c>
      <c r="AK7" s="180" t="s">
        <v>96</v>
      </c>
      <c r="AL7" s="181" t="s">
        <v>4</v>
      </c>
    </row>
    <row r="8" spans="1:38" ht="14.25" x14ac:dyDescent="0.2">
      <c r="A8" s="105" t="s">
        <v>5</v>
      </c>
      <c r="B8" s="106"/>
      <c r="C8" s="116" t="str">
        <f>MID(AL2,5,3)</f>
        <v/>
      </c>
      <c r="D8" s="117"/>
      <c r="E8" s="117"/>
      <c r="F8" s="117"/>
      <c r="G8" s="117"/>
      <c r="H8" s="117"/>
      <c r="I8" s="117"/>
      <c r="J8" s="117"/>
      <c r="K8" s="117"/>
      <c r="L8" s="117"/>
      <c r="M8" s="117"/>
      <c r="N8" s="117"/>
      <c r="O8" s="117"/>
      <c r="P8" s="117"/>
      <c r="Q8" s="117"/>
      <c r="R8" s="117"/>
      <c r="S8" s="117"/>
      <c r="T8" s="117"/>
      <c r="U8" s="117"/>
      <c r="V8" s="117"/>
      <c r="W8" s="117"/>
      <c r="X8" s="117"/>
      <c r="Y8" s="117"/>
      <c r="Z8" s="117"/>
      <c r="AA8" s="117"/>
      <c r="AB8" s="117"/>
      <c r="AC8" s="117"/>
      <c r="AD8" s="117"/>
      <c r="AE8" s="117"/>
      <c r="AF8" s="117"/>
      <c r="AG8" s="117"/>
      <c r="AH8" s="117"/>
      <c r="AI8" s="117"/>
      <c r="AJ8" s="180"/>
      <c r="AK8" s="180"/>
      <c r="AL8" s="181"/>
    </row>
    <row r="9" spans="1:38" ht="14.25" customHeight="1" x14ac:dyDescent="0.2">
      <c r="A9" s="105" t="s">
        <v>42</v>
      </c>
      <c r="B9" s="106"/>
      <c r="C9" s="107"/>
      <c r="D9" s="108"/>
      <c r="E9" s="109"/>
      <c r="F9" s="107"/>
      <c r="G9" s="108"/>
      <c r="H9" s="109"/>
      <c r="I9" s="107"/>
      <c r="J9" s="108"/>
      <c r="K9" s="109"/>
      <c r="L9" s="107"/>
      <c r="M9" s="108"/>
      <c r="N9" s="109"/>
      <c r="O9" s="107"/>
      <c r="P9" s="108"/>
      <c r="Q9" s="109"/>
      <c r="R9" s="107"/>
      <c r="S9" s="108"/>
      <c r="T9" s="109"/>
      <c r="U9" s="107"/>
      <c r="V9" s="108"/>
      <c r="W9" s="109"/>
      <c r="X9" s="107"/>
      <c r="Y9" s="108"/>
      <c r="Z9" s="109"/>
      <c r="AA9" s="107"/>
      <c r="AB9" s="108"/>
      <c r="AC9" s="109"/>
      <c r="AD9" s="107"/>
      <c r="AE9" s="108"/>
      <c r="AF9" s="109"/>
      <c r="AG9" s="107"/>
      <c r="AH9" s="108"/>
      <c r="AI9" s="108"/>
      <c r="AJ9" s="180"/>
      <c r="AK9" s="180"/>
      <c r="AL9" s="181"/>
    </row>
    <row r="10" spans="1:38" ht="36" customHeight="1" x14ac:dyDescent="0.2">
      <c r="A10" s="119" t="s">
        <v>87</v>
      </c>
      <c r="B10" s="120"/>
      <c r="C10" s="107"/>
      <c r="D10" s="108"/>
      <c r="E10" s="109"/>
      <c r="F10" s="107"/>
      <c r="G10" s="108"/>
      <c r="H10" s="109"/>
      <c r="I10" s="107"/>
      <c r="J10" s="108"/>
      <c r="K10" s="109"/>
      <c r="L10" s="107"/>
      <c r="M10" s="108"/>
      <c r="N10" s="109"/>
      <c r="O10" s="107"/>
      <c r="P10" s="108"/>
      <c r="Q10" s="109"/>
      <c r="R10" s="107"/>
      <c r="S10" s="108"/>
      <c r="T10" s="109"/>
      <c r="U10" s="107"/>
      <c r="V10" s="108"/>
      <c r="W10" s="109"/>
      <c r="X10" s="107"/>
      <c r="Y10" s="108"/>
      <c r="Z10" s="109"/>
      <c r="AA10" s="107"/>
      <c r="AB10" s="108"/>
      <c r="AC10" s="109"/>
      <c r="AD10" s="107"/>
      <c r="AE10" s="108"/>
      <c r="AF10" s="109"/>
      <c r="AG10" s="107"/>
      <c r="AH10" s="108"/>
      <c r="AI10" s="108"/>
      <c r="AJ10" s="180"/>
      <c r="AK10" s="180"/>
      <c r="AL10" s="181"/>
    </row>
    <row r="11" spans="1:38" ht="14.25" x14ac:dyDescent="0.2">
      <c r="A11" s="113" t="s">
        <v>85</v>
      </c>
      <c r="B11" s="113"/>
      <c r="C11" s="107"/>
      <c r="D11" s="108"/>
      <c r="E11" s="109"/>
      <c r="F11" s="107"/>
      <c r="G11" s="108"/>
      <c r="H11" s="109"/>
      <c r="I11" s="107"/>
      <c r="J11" s="108"/>
      <c r="K11" s="109"/>
      <c r="L11" s="107"/>
      <c r="M11" s="108"/>
      <c r="N11" s="109"/>
      <c r="O11" s="107"/>
      <c r="P11" s="108"/>
      <c r="Q11" s="109"/>
      <c r="R11" s="107"/>
      <c r="S11" s="108"/>
      <c r="T11" s="109"/>
      <c r="U11" s="107"/>
      <c r="V11" s="108"/>
      <c r="W11" s="109"/>
      <c r="X11" s="107"/>
      <c r="Y11" s="108"/>
      <c r="Z11" s="109"/>
      <c r="AA11" s="107"/>
      <c r="AB11" s="108"/>
      <c r="AC11" s="109"/>
      <c r="AD11" s="107"/>
      <c r="AE11" s="108"/>
      <c r="AF11" s="109"/>
      <c r="AG11" s="107"/>
      <c r="AH11" s="108"/>
      <c r="AI11" s="108"/>
      <c r="AJ11" s="180"/>
      <c r="AK11" s="180"/>
      <c r="AL11" s="181"/>
    </row>
    <row r="12" spans="1:38" ht="14.25" x14ac:dyDescent="0.2">
      <c r="A12" s="119" t="s">
        <v>64</v>
      </c>
      <c r="B12" s="120"/>
      <c r="C12" s="107"/>
      <c r="D12" s="108"/>
      <c r="E12" s="109"/>
      <c r="F12" s="107"/>
      <c r="G12" s="108"/>
      <c r="H12" s="109"/>
      <c r="I12" s="107"/>
      <c r="J12" s="108"/>
      <c r="K12" s="109"/>
      <c r="L12" s="107"/>
      <c r="M12" s="108"/>
      <c r="N12" s="109"/>
      <c r="O12" s="107"/>
      <c r="P12" s="108"/>
      <c r="Q12" s="109"/>
      <c r="R12" s="107"/>
      <c r="S12" s="108"/>
      <c r="T12" s="109"/>
      <c r="U12" s="107"/>
      <c r="V12" s="108"/>
      <c r="W12" s="109"/>
      <c r="X12" s="107"/>
      <c r="Y12" s="108"/>
      <c r="Z12" s="109"/>
      <c r="AA12" s="107"/>
      <c r="AB12" s="108"/>
      <c r="AC12" s="109"/>
      <c r="AD12" s="107"/>
      <c r="AE12" s="108"/>
      <c r="AF12" s="109"/>
      <c r="AG12" s="107"/>
      <c r="AH12" s="108"/>
      <c r="AI12" s="108"/>
      <c r="AJ12" s="180"/>
      <c r="AK12" s="180"/>
      <c r="AL12" s="181"/>
    </row>
    <row r="13" spans="1:38" ht="0" hidden="1" customHeight="1" x14ac:dyDescent="0.2">
      <c r="A13" s="63"/>
      <c r="B13" s="63"/>
      <c r="AJ13" s="180"/>
      <c r="AK13" s="180"/>
      <c r="AL13" s="181"/>
    </row>
    <row r="14" spans="1:38" ht="14.25" customHeight="1" x14ac:dyDescent="0.2">
      <c r="A14" s="188" t="s">
        <v>21</v>
      </c>
      <c r="B14" s="189"/>
      <c r="C14" s="100"/>
      <c r="D14" s="100"/>
      <c r="E14" s="100"/>
      <c r="F14" s="100"/>
      <c r="G14" s="100"/>
      <c r="H14" s="100"/>
      <c r="I14" s="100"/>
      <c r="J14" s="100"/>
      <c r="K14" s="100"/>
      <c r="L14" s="100"/>
      <c r="M14" s="100"/>
      <c r="N14" s="100"/>
      <c r="O14" s="100"/>
      <c r="P14" s="100"/>
      <c r="Q14" s="100"/>
      <c r="R14" s="100"/>
      <c r="S14" s="100"/>
      <c r="T14" s="100"/>
      <c r="U14" s="100"/>
      <c r="V14" s="100"/>
      <c r="W14" s="100"/>
      <c r="X14" s="100"/>
      <c r="Y14" s="100"/>
      <c r="Z14" s="100"/>
      <c r="AA14" s="100"/>
      <c r="AB14" s="100"/>
      <c r="AC14" s="100"/>
      <c r="AD14" s="100"/>
      <c r="AE14" s="100"/>
      <c r="AF14" s="100"/>
      <c r="AG14" s="100"/>
      <c r="AH14" s="100"/>
      <c r="AI14" s="100"/>
      <c r="AJ14" s="180"/>
      <c r="AK14" s="180"/>
      <c r="AL14" s="181"/>
    </row>
    <row r="15" spans="1:38" ht="14.25" customHeight="1" x14ac:dyDescent="0.2">
      <c r="A15" s="105" t="s">
        <v>32</v>
      </c>
      <c r="B15" s="182"/>
      <c r="C15" s="143"/>
      <c r="D15" s="144"/>
      <c r="E15" s="145"/>
      <c r="F15" s="143"/>
      <c r="G15" s="144"/>
      <c r="H15" s="145"/>
      <c r="I15" s="143"/>
      <c r="J15" s="144"/>
      <c r="K15" s="145"/>
      <c r="L15" s="143"/>
      <c r="M15" s="144"/>
      <c r="N15" s="145"/>
      <c r="O15" s="143"/>
      <c r="P15" s="144"/>
      <c r="Q15" s="145"/>
      <c r="R15" s="143"/>
      <c r="S15" s="144"/>
      <c r="T15" s="145"/>
      <c r="U15" s="143"/>
      <c r="V15" s="144"/>
      <c r="W15" s="145"/>
      <c r="X15" s="143"/>
      <c r="Y15" s="144"/>
      <c r="Z15" s="145"/>
      <c r="AA15" s="143"/>
      <c r="AB15" s="144"/>
      <c r="AC15" s="145"/>
      <c r="AD15" s="143"/>
      <c r="AE15" s="144"/>
      <c r="AF15" s="145"/>
      <c r="AG15" s="143"/>
      <c r="AH15" s="144"/>
      <c r="AI15" s="145"/>
      <c r="AJ15" s="92" t="s">
        <v>63</v>
      </c>
      <c r="AK15" s="92" t="s">
        <v>63</v>
      </c>
      <c r="AL15" s="101" t="s">
        <v>75</v>
      </c>
    </row>
    <row r="16" spans="1:38" ht="14.25" x14ac:dyDescent="0.2">
      <c r="A16" s="105" t="s">
        <v>33</v>
      </c>
      <c r="B16" s="182" t="s">
        <v>6</v>
      </c>
      <c r="C16" s="143"/>
      <c r="D16" s="144"/>
      <c r="E16" s="145"/>
      <c r="F16" s="143"/>
      <c r="G16" s="144"/>
      <c r="H16" s="145"/>
      <c r="I16" s="143"/>
      <c r="J16" s="144"/>
      <c r="K16" s="145"/>
      <c r="L16" s="143"/>
      <c r="M16" s="144"/>
      <c r="N16" s="145"/>
      <c r="O16" s="143"/>
      <c r="P16" s="144"/>
      <c r="Q16" s="145"/>
      <c r="R16" s="143"/>
      <c r="S16" s="144"/>
      <c r="T16" s="145"/>
      <c r="U16" s="143"/>
      <c r="V16" s="144"/>
      <c r="W16" s="145"/>
      <c r="X16" s="143"/>
      <c r="Y16" s="144"/>
      <c r="Z16" s="145"/>
      <c r="AA16" s="143"/>
      <c r="AB16" s="144"/>
      <c r="AC16" s="145"/>
      <c r="AD16" s="143"/>
      <c r="AE16" s="144"/>
      <c r="AF16" s="145"/>
      <c r="AG16" s="143"/>
      <c r="AH16" s="144"/>
      <c r="AI16" s="145"/>
      <c r="AJ16" s="93"/>
      <c r="AK16" s="93"/>
      <c r="AL16" s="102"/>
    </row>
    <row r="17" spans="1:39" ht="14.25" x14ac:dyDescent="0.2">
      <c r="A17" s="105" t="s">
        <v>40</v>
      </c>
      <c r="B17" s="182" t="s">
        <v>7</v>
      </c>
      <c r="C17" s="143"/>
      <c r="D17" s="144"/>
      <c r="E17" s="145"/>
      <c r="F17" s="143"/>
      <c r="G17" s="144"/>
      <c r="H17" s="145"/>
      <c r="I17" s="143"/>
      <c r="J17" s="144"/>
      <c r="K17" s="145"/>
      <c r="L17" s="143"/>
      <c r="M17" s="144"/>
      <c r="N17" s="145"/>
      <c r="O17" s="143"/>
      <c r="P17" s="144"/>
      <c r="Q17" s="145"/>
      <c r="R17" s="143"/>
      <c r="S17" s="144"/>
      <c r="T17" s="145"/>
      <c r="U17" s="143"/>
      <c r="V17" s="144"/>
      <c r="W17" s="145"/>
      <c r="X17" s="143"/>
      <c r="Y17" s="144"/>
      <c r="Z17" s="145"/>
      <c r="AA17" s="143"/>
      <c r="AB17" s="144"/>
      <c r="AC17" s="145"/>
      <c r="AD17" s="143"/>
      <c r="AE17" s="144"/>
      <c r="AF17" s="145"/>
      <c r="AG17" s="143"/>
      <c r="AH17" s="144"/>
      <c r="AI17" s="145"/>
      <c r="AJ17" s="93"/>
      <c r="AK17" s="93"/>
      <c r="AL17" s="102"/>
    </row>
    <row r="18" spans="1:39" ht="14.25" x14ac:dyDescent="0.2">
      <c r="A18" s="105" t="s">
        <v>41</v>
      </c>
      <c r="B18" s="182" t="s">
        <v>8</v>
      </c>
      <c r="C18" s="143"/>
      <c r="D18" s="144"/>
      <c r="E18" s="145"/>
      <c r="F18" s="143"/>
      <c r="G18" s="144"/>
      <c r="H18" s="145"/>
      <c r="I18" s="143"/>
      <c r="J18" s="144"/>
      <c r="K18" s="145"/>
      <c r="L18" s="143"/>
      <c r="M18" s="144"/>
      <c r="N18" s="145"/>
      <c r="O18" s="143"/>
      <c r="P18" s="144"/>
      <c r="Q18" s="145"/>
      <c r="R18" s="143"/>
      <c r="S18" s="144"/>
      <c r="T18" s="145"/>
      <c r="U18" s="143"/>
      <c r="V18" s="144"/>
      <c r="W18" s="145"/>
      <c r="X18" s="143"/>
      <c r="Y18" s="144"/>
      <c r="Z18" s="145"/>
      <c r="AA18" s="143"/>
      <c r="AB18" s="144"/>
      <c r="AC18" s="145"/>
      <c r="AD18" s="143"/>
      <c r="AE18" s="144"/>
      <c r="AF18" s="145"/>
      <c r="AG18" s="143"/>
      <c r="AH18" s="144"/>
      <c r="AI18" s="145"/>
      <c r="AJ18" s="93"/>
      <c r="AK18" s="93"/>
      <c r="AL18" s="102"/>
    </row>
    <row r="19" spans="1:39" ht="14.25" x14ac:dyDescent="0.2">
      <c r="A19" s="105" t="s">
        <v>34</v>
      </c>
      <c r="B19" s="182" t="s">
        <v>9</v>
      </c>
      <c r="C19" s="143"/>
      <c r="D19" s="144"/>
      <c r="E19" s="145"/>
      <c r="F19" s="143"/>
      <c r="G19" s="144"/>
      <c r="H19" s="145"/>
      <c r="I19" s="143"/>
      <c r="J19" s="144"/>
      <c r="K19" s="145"/>
      <c r="L19" s="143"/>
      <c r="M19" s="144"/>
      <c r="N19" s="145"/>
      <c r="O19" s="143"/>
      <c r="P19" s="144"/>
      <c r="Q19" s="145"/>
      <c r="R19" s="143"/>
      <c r="S19" s="144"/>
      <c r="T19" s="145"/>
      <c r="U19" s="143"/>
      <c r="V19" s="144"/>
      <c r="W19" s="145"/>
      <c r="X19" s="143"/>
      <c r="Y19" s="144"/>
      <c r="Z19" s="145"/>
      <c r="AA19" s="143"/>
      <c r="AB19" s="144"/>
      <c r="AC19" s="145"/>
      <c r="AD19" s="143"/>
      <c r="AE19" s="144"/>
      <c r="AF19" s="145"/>
      <c r="AG19" s="143"/>
      <c r="AH19" s="144"/>
      <c r="AI19" s="145"/>
      <c r="AJ19" s="93"/>
      <c r="AK19" s="93"/>
      <c r="AL19" s="102"/>
    </row>
    <row r="20" spans="1:39" ht="14.25" x14ac:dyDescent="0.2">
      <c r="A20" s="105" t="s">
        <v>35</v>
      </c>
      <c r="B20" s="182" t="s">
        <v>10</v>
      </c>
      <c r="C20" s="143"/>
      <c r="D20" s="144"/>
      <c r="E20" s="145"/>
      <c r="F20" s="143"/>
      <c r="G20" s="144"/>
      <c r="H20" s="145"/>
      <c r="I20" s="143"/>
      <c r="J20" s="144"/>
      <c r="K20" s="145"/>
      <c r="L20" s="143"/>
      <c r="M20" s="144"/>
      <c r="N20" s="145"/>
      <c r="O20" s="143"/>
      <c r="P20" s="144"/>
      <c r="Q20" s="145"/>
      <c r="R20" s="143"/>
      <c r="S20" s="144"/>
      <c r="T20" s="145"/>
      <c r="U20" s="143"/>
      <c r="V20" s="144"/>
      <c r="W20" s="145"/>
      <c r="X20" s="143"/>
      <c r="Y20" s="144"/>
      <c r="Z20" s="145"/>
      <c r="AA20" s="143"/>
      <c r="AB20" s="144"/>
      <c r="AC20" s="145"/>
      <c r="AD20" s="143"/>
      <c r="AE20" s="144"/>
      <c r="AF20" s="145"/>
      <c r="AG20" s="143"/>
      <c r="AH20" s="144"/>
      <c r="AI20" s="145"/>
      <c r="AJ20" s="93"/>
      <c r="AK20" s="93"/>
      <c r="AL20" s="102"/>
    </row>
    <row r="21" spans="1:39" ht="14.25" x14ac:dyDescent="0.2">
      <c r="A21" s="105" t="s">
        <v>36</v>
      </c>
      <c r="B21" s="182"/>
      <c r="C21" s="143"/>
      <c r="D21" s="144"/>
      <c r="E21" s="145"/>
      <c r="F21" s="143"/>
      <c r="G21" s="144"/>
      <c r="H21" s="145"/>
      <c r="I21" s="143"/>
      <c r="J21" s="144"/>
      <c r="K21" s="145"/>
      <c r="L21" s="143"/>
      <c r="M21" s="144"/>
      <c r="N21" s="145"/>
      <c r="O21" s="143"/>
      <c r="P21" s="144"/>
      <c r="Q21" s="145"/>
      <c r="R21" s="143"/>
      <c r="S21" s="144"/>
      <c r="T21" s="145"/>
      <c r="U21" s="143"/>
      <c r="V21" s="144"/>
      <c r="W21" s="145"/>
      <c r="X21" s="143"/>
      <c r="Y21" s="144"/>
      <c r="Z21" s="145"/>
      <c r="AA21" s="143"/>
      <c r="AB21" s="144"/>
      <c r="AC21" s="145"/>
      <c r="AD21" s="143"/>
      <c r="AE21" s="144"/>
      <c r="AF21" s="145"/>
      <c r="AG21" s="143"/>
      <c r="AH21" s="144"/>
      <c r="AI21" s="145"/>
      <c r="AJ21" s="93"/>
      <c r="AK21" s="93"/>
      <c r="AL21" s="102"/>
    </row>
    <row r="22" spans="1:39" ht="14.25" x14ac:dyDescent="0.2">
      <c r="A22" s="105" t="s">
        <v>37</v>
      </c>
      <c r="B22" s="182"/>
      <c r="C22" s="143"/>
      <c r="D22" s="144"/>
      <c r="E22" s="145"/>
      <c r="F22" s="143"/>
      <c r="G22" s="144"/>
      <c r="H22" s="145"/>
      <c r="I22" s="143"/>
      <c r="J22" s="144"/>
      <c r="K22" s="145"/>
      <c r="L22" s="143"/>
      <c r="M22" s="144"/>
      <c r="N22" s="145"/>
      <c r="O22" s="143"/>
      <c r="P22" s="144"/>
      <c r="Q22" s="145"/>
      <c r="R22" s="143"/>
      <c r="S22" s="144"/>
      <c r="T22" s="145"/>
      <c r="U22" s="143"/>
      <c r="V22" s="144"/>
      <c r="W22" s="145"/>
      <c r="X22" s="143"/>
      <c r="Y22" s="144"/>
      <c r="Z22" s="145"/>
      <c r="AA22" s="143"/>
      <c r="AB22" s="144"/>
      <c r="AC22" s="145"/>
      <c r="AD22" s="143"/>
      <c r="AE22" s="144"/>
      <c r="AF22" s="145"/>
      <c r="AG22" s="143"/>
      <c r="AH22" s="144"/>
      <c r="AI22" s="145"/>
      <c r="AJ22" s="93"/>
      <c r="AK22" s="93"/>
      <c r="AL22" s="102"/>
    </row>
    <row r="23" spans="1:39" ht="14.25" customHeight="1" x14ac:dyDescent="0.2">
      <c r="A23" s="105" t="s">
        <v>38</v>
      </c>
      <c r="B23" s="182" t="s">
        <v>11</v>
      </c>
      <c r="C23" s="143"/>
      <c r="D23" s="144"/>
      <c r="E23" s="145"/>
      <c r="F23" s="143"/>
      <c r="G23" s="144"/>
      <c r="H23" s="145"/>
      <c r="I23" s="143"/>
      <c r="J23" s="144"/>
      <c r="K23" s="145"/>
      <c r="L23" s="143"/>
      <c r="M23" s="144"/>
      <c r="N23" s="145"/>
      <c r="O23" s="143"/>
      <c r="P23" s="144"/>
      <c r="Q23" s="145"/>
      <c r="R23" s="143"/>
      <c r="S23" s="144"/>
      <c r="T23" s="145"/>
      <c r="U23" s="143"/>
      <c r="V23" s="144"/>
      <c r="W23" s="145"/>
      <c r="X23" s="143"/>
      <c r="Y23" s="144"/>
      <c r="Z23" s="145"/>
      <c r="AA23" s="143"/>
      <c r="AB23" s="144"/>
      <c r="AC23" s="145"/>
      <c r="AD23" s="143"/>
      <c r="AE23" s="144"/>
      <c r="AF23" s="145"/>
      <c r="AG23" s="143"/>
      <c r="AH23" s="144"/>
      <c r="AI23" s="145"/>
      <c r="AJ23" s="94"/>
      <c r="AK23" s="94"/>
      <c r="AL23" s="102"/>
    </row>
    <row r="24" spans="1:39" ht="14.25" customHeight="1" x14ac:dyDescent="0.2">
      <c r="A24" s="105" t="s">
        <v>39</v>
      </c>
      <c r="B24" s="182"/>
      <c r="C24" s="143"/>
      <c r="D24" s="144"/>
      <c r="E24" s="145"/>
      <c r="F24" s="143"/>
      <c r="G24" s="144"/>
      <c r="H24" s="145"/>
      <c r="I24" s="143"/>
      <c r="J24" s="144"/>
      <c r="K24" s="145"/>
      <c r="L24" s="143"/>
      <c r="M24" s="144"/>
      <c r="N24" s="145"/>
      <c r="O24" s="143"/>
      <c r="P24" s="144"/>
      <c r="Q24" s="145"/>
      <c r="R24" s="143"/>
      <c r="S24" s="144"/>
      <c r="T24" s="145"/>
      <c r="U24" s="143"/>
      <c r="V24" s="144"/>
      <c r="W24" s="145"/>
      <c r="X24" s="143"/>
      <c r="Y24" s="144"/>
      <c r="Z24" s="145"/>
      <c r="AA24" s="143"/>
      <c r="AB24" s="144"/>
      <c r="AC24" s="145"/>
      <c r="AD24" s="143"/>
      <c r="AE24" s="144"/>
      <c r="AF24" s="145"/>
      <c r="AG24" s="143"/>
      <c r="AH24" s="144"/>
      <c r="AI24" s="145"/>
      <c r="AJ24" s="46" t="s">
        <v>12</v>
      </c>
      <c r="AK24" s="46" t="s">
        <v>63</v>
      </c>
      <c r="AL24" s="103"/>
    </row>
    <row r="25" spans="1:39" ht="14.25" customHeight="1" x14ac:dyDescent="0.2">
      <c r="A25" s="140" t="s">
        <v>48</v>
      </c>
      <c r="B25" s="142" t="s">
        <v>16</v>
      </c>
      <c r="C25" s="174"/>
      <c r="D25" s="175"/>
      <c r="E25" s="176"/>
      <c r="F25" s="174"/>
      <c r="G25" s="175"/>
      <c r="H25" s="176"/>
      <c r="I25" s="174"/>
      <c r="J25" s="175"/>
      <c r="K25" s="176"/>
      <c r="L25" s="174"/>
      <c r="M25" s="175"/>
      <c r="N25" s="176"/>
      <c r="O25" s="174"/>
      <c r="P25" s="175"/>
      <c r="Q25" s="176"/>
      <c r="R25" s="174"/>
      <c r="S25" s="175"/>
      <c r="T25" s="176"/>
      <c r="U25" s="174"/>
      <c r="V25" s="175"/>
      <c r="W25" s="176"/>
      <c r="X25" s="174"/>
      <c r="Y25" s="175"/>
      <c r="Z25" s="176"/>
      <c r="AA25" s="174"/>
      <c r="AB25" s="175"/>
      <c r="AC25" s="176"/>
      <c r="AD25" s="174"/>
      <c r="AE25" s="175"/>
      <c r="AF25" s="176"/>
      <c r="AG25" s="174"/>
      <c r="AH25" s="175"/>
      <c r="AI25" s="176"/>
      <c r="AJ25" s="53" t="s">
        <v>63</v>
      </c>
      <c r="AK25" s="53" t="s">
        <v>97</v>
      </c>
      <c r="AL25" s="95" t="s">
        <v>30</v>
      </c>
    </row>
    <row r="26" spans="1:39" ht="14.25" customHeight="1" x14ac:dyDescent="0.2">
      <c r="A26" s="141"/>
      <c r="B26" s="120"/>
      <c r="C26" s="183"/>
      <c r="D26" s="184"/>
      <c r="E26" s="185"/>
      <c r="F26" s="183"/>
      <c r="G26" s="184"/>
      <c r="H26" s="185"/>
      <c r="I26" s="183"/>
      <c r="J26" s="184"/>
      <c r="K26" s="185"/>
      <c r="L26" s="183"/>
      <c r="M26" s="184"/>
      <c r="N26" s="185"/>
      <c r="O26" s="183"/>
      <c r="P26" s="184"/>
      <c r="Q26" s="185"/>
      <c r="R26" s="183"/>
      <c r="S26" s="184"/>
      <c r="T26" s="185"/>
      <c r="U26" s="183"/>
      <c r="V26" s="184"/>
      <c r="W26" s="185"/>
      <c r="X26" s="183"/>
      <c r="Y26" s="184"/>
      <c r="Z26" s="185"/>
      <c r="AA26" s="183"/>
      <c r="AB26" s="184"/>
      <c r="AC26" s="185"/>
      <c r="AD26" s="183"/>
      <c r="AE26" s="184"/>
      <c r="AF26" s="185"/>
      <c r="AG26" s="183"/>
      <c r="AH26" s="184"/>
      <c r="AI26" s="185"/>
      <c r="AJ26" s="54" t="s">
        <v>63</v>
      </c>
      <c r="AK26" s="54" t="s">
        <v>98</v>
      </c>
      <c r="AL26" s="95"/>
    </row>
    <row r="27" spans="1:39" ht="14.25" customHeight="1" x14ac:dyDescent="0.2">
      <c r="A27" s="47" t="s">
        <v>109</v>
      </c>
      <c r="B27" s="48" t="s">
        <v>16</v>
      </c>
      <c r="C27" s="147"/>
      <c r="D27" s="148"/>
      <c r="E27" s="149"/>
      <c r="F27" s="147"/>
      <c r="G27" s="148"/>
      <c r="H27" s="149"/>
      <c r="I27" s="147"/>
      <c r="J27" s="148"/>
      <c r="K27" s="149"/>
      <c r="L27" s="147"/>
      <c r="M27" s="148"/>
      <c r="N27" s="149"/>
      <c r="O27" s="147"/>
      <c r="P27" s="148"/>
      <c r="Q27" s="149"/>
      <c r="R27" s="147"/>
      <c r="S27" s="148"/>
      <c r="T27" s="149"/>
      <c r="U27" s="147"/>
      <c r="V27" s="148"/>
      <c r="W27" s="149"/>
      <c r="X27" s="147"/>
      <c r="Y27" s="148"/>
      <c r="Z27" s="149"/>
      <c r="AA27" s="147"/>
      <c r="AB27" s="148"/>
      <c r="AC27" s="149"/>
      <c r="AD27" s="147"/>
      <c r="AE27" s="148"/>
      <c r="AF27" s="149"/>
      <c r="AG27" s="147"/>
      <c r="AH27" s="148"/>
      <c r="AI27" s="149"/>
      <c r="AJ27" s="54" t="s">
        <v>63</v>
      </c>
      <c r="AK27" s="54" t="s">
        <v>63</v>
      </c>
      <c r="AL27" s="95"/>
      <c r="AM27" s="55"/>
    </row>
    <row r="28" spans="1:39" ht="14.25" x14ac:dyDescent="0.2">
      <c r="A28" s="105" t="s">
        <v>102</v>
      </c>
      <c r="B28" s="106"/>
      <c r="C28" s="143"/>
      <c r="D28" s="144"/>
      <c r="E28" s="145"/>
      <c r="F28" s="143"/>
      <c r="G28" s="144"/>
      <c r="H28" s="145"/>
      <c r="I28" s="143"/>
      <c r="J28" s="144"/>
      <c r="K28" s="145"/>
      <c r="L28" s="143"/>
      <c r="M28" s="144"/>
      <c r="N28" s="145"/>
      <c r="O28" s="143"/>
      <c r="P28" s="144"/>
      <c r="Q28" s="145"/>
      <c r="R28" s="143"/>
      <c r="S28" s="144"/>
      <c r="T28" s="145"/>
      <c r="U28" s="143"/>
      <c r="V28" s="144"/>
      <c r="W28" s="145"/>
      <c r="X28" s="143"/>
      <c r="Y28" s="144"/>
      <c r="Z28" s="145"/>
      <c r="AA28" s="143"/>
      <c r="AB28" s="144"/>
      <c r="AC28" s="145"/>
      <c r="AD28" s="143"/>
      <c r="AE28" s="144"/>
      <c r="AF28" s="145"/>
      <c r="AG28" s="143"/>
      <c r="AH28" s="144"/>
      <c r="AI28" s="145"/>
      <c r="AJ28" s="46" t="s">
        <v>17</v>
      </c>
      <c r="AK28" s="54" t="s">
        <v>63</v>
      </c>
      <c r="AL28" s="95" t="s">
        <v>30</v>
      </c>
    </row>
    <row r="29" spans="1:39" ht="14.25" x14ac:dyDescent="0.2">
      <c r="A29" s="105" t="s">
        <v>103</v>
      </c>
      <c r="B29" s="106"/>
      <c r="C29" s="147"/>
      <c r="D29" s="148"/>
      <c r="E29" s="149"/>
      <c r="F29" s="147"/>
      <c r="G29" s="148"/>
      <c r="H29" s="149"/>
      <c r="I29" s="147"/>
      <c r="J29" s="148"/>
      <c r="K29" s="149"/>
      <c r="L29" s="147"/>
      <c r="M29" s="148"/>
      <c r="N29" s="149"/>
      <c r="O29" s="147"/>
      <c r="P29" s="148"/>
      <c r="Q29" s="149"/>
      <c r="R29" s="147"/>
      <c r="S29" s="148"/>
      <c r="T29" s="149"/>
      <c r="U29" s="147"/>
      <c r="V29" s="148"/>
      <c r="W29" s="149"/>
      <c r="X29" s="147"/>
      <c r="Y29" s="148"/>
      <c r="Z29" s="149"/>
      <c r="AA29" s="147"/>
      <c r="AB29" s="148"/>
      <c r="AC29" s="149"/>
      <c r="AD29" s="147"/>
      <c r="AE29" s="148"/>
      <c r="AF29" s="149"/>
      <c r="AG29" s="147"/>
      <c r="AH29" s="148"/>
      <c r="AI29" s="149"/>
      <c r="AJ29" s="46" t="s">
        <v>63</v>
      </c>
      <c r="AK29" s="46" t="s">
        <v>18</v>
      </c>
      <c r="AL29" s="95"/>
    </row>
    <row r="30" spans="1:39" ht="14.25" customHeight="1" x14ac:dyDescent="0.2">
      <c r="A30" s="56" t="s">
        <v>117</v>
      </c>
      <c r="B30" s="192" t="s">
        <v>106</v>
      </c>
      <c r="C30" s="177"/>
      <c r="D30" s="178"/>
      <c r="E30" s="179"/>
      <c r="F30" s="177"/>
      <c r="G30" s="178"/>
      <c r="H30" s="179"/>
      <c r="I30" s="177"/>
      <c r="J30" s="178"/>
      <c r="K30" s="179"/>
      <c r="L30" s="177"/>
      <c r="M30" s="178"/>
      <c r="N30" s="179"/>
      <c r="O30" s="177"/>
      <c r="P30" s="178"/>
      <c r="Q30" s="179"/>
      <c r="R30" s="177"/>
      <c r="S30" s="178"/>
      <c r="T30" s="179"/>
      <c r="U30" s="177"/>
      <c r="V30" s="178"/>
      <c r="W30" s="179"/>
      <c r="X30" s="177"/>
      <c r="Y30" s="178"/>
      <c r="Z30" s="179"/>
      <c r="AA30" s="177"/>
      <c r="AB30" s="178"/>
      <c r="AC30" s="179"/>
      <c r="AD30" s="177"/>
      <c r="AE30" s="178"/>
      <c r="AF30" s="179"/>
      <c r="AG30" s="177"/>
      <c r="AH30" s="178"/>
      <c r="AI30" s="179"/>
      <c r="AJ30" s="186" t="s">
        <v>63</v>
      </c>
      <c r="AK30" s="187"/>
      <c r="AL30" s="92" t="s">
        <v>65</v>
      </c>
    </row>
    <row r="31" spans="1:39" ht="14.25" customHeight="1" x14ac:dyDescent="0.2">
      <c r="A31" s="96" t="s">
        <v>112</v>
      </c>
      <c r="B31" s="192" t="s">
        <v>108</v>
      </c>
      <c r="C31" s="171"/>
      <c r="D31" s="172"/>
      <c r="E31" s="173"/>
      <c r="F31" s="171"/>
      <c r="G31" s="172"/>
      <c r="H31" s="173"/>
      <c r="I31" s="171"/>
      <c r="J31" s="172"/>
      <c r="K31" s="173"/>
      <c r="L31" s="171"/>
      <c r="M31" s="172"/>
      <c r="N31" s="173"/>
      <c r="O31" s="171"/>
      <c r="P31" s="172"/>
      <c r="Q31" s="173"/>
      <c r="R31" s="171"/>
      <c r="S31" s="172"/>
      <c r="T31" s="173"/>
      <c r="U31" s="171"/>
      <c r="V31" s="172"/>
      <c r="W31" s="173"/>
      <c r="X31" s="171"/>
      <c r="Y31" s="172"/>
      <c r="Z31" s="173"/>
      <c r="AA31" s="171"/>
      <c r="AB31" s="172"/>
      <c r="AC31" s="173"/>
      <c r="AD31" s="171"/>
      <c r="AE31" s="172"/>
      <c r="AF31" s="173"/>
      <c r="AG31" s="171"/>
      <c r="AH31" s="172"/>
      <c r="AI31" s="173"/>
      <c r="AJ31" s="186" t="s">
        <v>63</v>
      </c>
      <c r="AK31" s="187"/>
      <c r="AL31" s="93"/>
    </row>
    <row r="32" spans="1:39" ht="14.25" customHeight="1" x14ac:dyDescent="0.2">
      <c r="A32" s="96"/>
      <c r="B32" s="192" t="s">
        <v>84</v>
      </c>
      <c r="C32" s="171"/>
      <c r="D32" s="172"/>
      <c r="E32" s="173"/>
      <c r="F32" s="171"/>
      <c r="G32" s="172"/>
      <c r="H32" s="173"/>
      <c r="I32" s="171"/>
      <c r="J32" s="172"/>
      <c r="K32" s="173"/>
      <c r="L32" s="171"/>
      <c r="M32" s="172"/>
      <c r="N32" s="173"/>
      <c r="O32" s="171"/>
      <c r="P32" s="172"/>
      <c r="Q32" s="173"/>
      <c r="R32" s="171"/>
      <c r="S32" s="172"/>
      <c r="T32" s="173"/>
      <c r="U32" s="171"/>
      <c r="V32" s="172"/>
      <c r="W32" s="173"/>
      <c r="X32" s="171"/>
      <c r="Y32" s="172"/>
      <c r="Z32" s="173"/>
      <c r="AA32" s="171"/>
      <c r="AB32" s="172"/>
      <c r="AC32" s="173"/>
      <c r="AD32" s="171"/>
      <c r="AE32" s="172"/>
      <c r="AF32" s="173"/>
      <c r="AG32" s="171"/>
      <c r="AH32" s="172"/>
      <c r="AI32" s="173"/>
      <c r="AJ32" s="186" t="s">
        <v>63</v>
      </c>
      <c r="AK32" s="187"/>
      <c r="AL32" s="93"/>
    </row>
    <row r="33" spans="1:38" ht="15" customHeight="1" x14ac:dyDescent="0.2">
      <c r="A33" s="96"/>
      <c r="B33" s="193" t="s">
        <v>105</v>
      </c>
      <c r="C33" s="59"/>
      <c r="D33" s="59"/>
      <c r="E33" s="59"/>
      <c r="F33" s="59"/>
      <c r="G33" s="59"/>
      <c r="H33" s="59"/>
      <c r="I33" s="59"/>
      <c r="J33" s="59"/>
      <c r="K33" s="59"/>
      <c r="L33" s="59"/>
      <c r="M33" s="59"/>
      <c r="N33" s="59"/>
      <c r="O33" s="59"/>
      <c r="P33" s="59"/>
      <c r="Q33" s="59"/>
      <c r="R33" s="59"/>
      <c r="S33" s="59"/>
      <c r="T33" s="59"/>
      <c r="U33" s="59"/>
      <c r="V33" s="59"/>
      <c r="W33" s="59"/>
      <c r="X33" s="59"/>
      <c r="Y33" s="59"/>
      <c r="Z33" s="59"/>
      <c r="AA33" s="59"/>
      <c r="AB33" s="59"/>
      <c r="AC33" s="59"/>
      <c r="AD33" s="59"/>
      <c r="AE33" s="59"/>
      <c r="AF33" s="59"/>
      <c r="AG33" s="59"/>
      <c r="AH33" s="59"/>
      <c r="AI33" s="59"/>
      <c r="AJ33" s="186" t="s">
        <v>63</v>
      </c>
      <c r="AK33" s="187"/>
      <c r="AL33" s="93"/>
    </row>
    <row r="34" spans="1:38" ht="14.25" x14ac:dyDescent="0.2">
      <c r="A34" s="97" t="str">
        <f>IF(DolguStandart="TS EN ISO 17892-12","Cassagrande, Tek Nokta","Cassagrande, Üç Nokta")</f>
        <v>Cassagrande, Tek Nokta</v>
      </c>
      <c r="B34" s="194" t="s">
        <v>100</v>
      </c>
      <c r="C34" s="64"/>
      <c r="D34" s="64"/>
      <c r="E34" s="64"/>
      <c r="F34" s="64"/>
      <c r="G34" s="64"/>
      <c r="H34" s="64"/>
      <c r="I34" s="64"/>
      <c r="J34" s="64"/>
      <c r="K34" s="64"/>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186" t="s">
        <v>63</v>
      </c>
      <c r="AK34" s="187"/>
      <c r="AL34" s="93"/>
    </row>
    <row r="35" spans="1:38" ht="14.25" customHeight="1" x14ac:dyDescent="0.2">
      <c r="A35" s="97"/>
      <c r="B35" s="194" t="s">
        <v>101</v>
      </c>
      <c r="C35" s="57"/>
      <c r="D35" s="57"/>
      <c r="E35" s="57"/>
      <c r="F35" s="57"/>
      <c r="G35" s="57"/>
      <c r="H35" s="57"/>
      <c r="I35" s="57"/>
      <c r="J35" s="57"/>
      <c r="K35" s="57"/>
      <c r="L35" s="57"/>
      <c r="M35" s="57"/>
      <c r="N35" s="57"/>
      <c r="O35" s="57"/>
      <c r="P35" s="57"/>
      <c r="Q35" s="57"/>
      <c r="R35" s="57"/>
      <c r="S35" s="57"/>
      <c r="T35" s="57"/>
      <c r="U35" s="57"/>
      <c r="V35" s="57"/>
      <c r="W35" s="57"/>
      <c r="X35" s="57"/>
      <c r="Y35" s="57"/>
      <c r="Z35" s="57"/>
      <c r="AA35" s="57"/>
      <c r="AB35" s="57"/>
      <c r="AC35" s="57"/>
      <c r="AD35" s="57"/>
      <c r="AE35" s="57"/>
      <c r="AF35" s="57"/>
      <c r="AG35" s="57"/>
      <c r="AH35" s="57"/>
      <c r="AI35" s="57"/>
      <c r="AJ35" s="186" t="s">
        <v>63</v>
      </c>
      <c r="AK35" s="187"/>
      <c r="AL35" s="93"/>
    </row>
    <row r="36" spans="1:38" ht="14.25" x14ac:dyDescent="0.2">
      <c r="A36" s="96" t="s">
        <v>113</v>
      </c>
      <c r="B36" s="67" t="s">
        <v>119</v>
      </c>
      <c r="C36" s="143"/>
      <c r="D36" s="144"/>
      <c r="E36" s="145"/>
      <c r="F36" s="143"/>
      <c r="G36" s="144"/>
      <c r="H36" s="145"/>
      <c r="I36" s="143"/>
      <c r="J36" s="144"/>
      <c r="K36" s="145"/>
      <c r="L36" s="143"/>
      <c r="M36" s="144"/>
      <c r="N36" s="145"/>
      <c r="O36" s="143"/>
      <c r="P36" s="144"/>
      <c r="Q36" s="145"/>
      <c r="R36" s="143"/>
      <c r="S36" s="144"/>
      <c r="T36" s="145"/>
      <c r="U36" s="143"/>
      <c r="V36" s="144"/>
      <c r="W36" s="145"/>
      <c r="X36" s="143"/>
      <c r="Y36" s="144"/>
      <c r="Z36" s="145"/>
      <c r="AA36" s="143"/>
      <c r="AB36" s="144"/>
      <c r="AC36" s="145"/>
      <c r="AD36" s="143"/>
      <c r="AE36" s="144"/>
      <c r="AF36" s="145"/>
      <c r="AG36" s="143"/>
      <c r="AH36" s="144"/>
      <c r="AI36" s="145"/>
      <c r="AJ36" s="16" t="s">
        <v>14</v>
      </c>
      <c r="AK36" s="16" t="s">
        <v>13</v>
      </c>
      <c r="AL36" s="93"/>
    </row>
    <row r="37" spans="1:38" ht="14.25" customHeight="1" x14ac:dyDescent="0.2">
      <c r="A37" s="96"/>
      <c r="B37" s="193" t="s">
        <v>105</v>
      </c>
      <c r="C37" s="59"/>
      <c r="D37" s="59"/>
      <c r="E37" s="59"/>
      <c r="F37" s="59"/>
      <c r="G37" s="59"/>
      <c r="H37" s="59"/>
      <c r="I37" s="59"/>
      <c r="J37" s="59"/>
      <c r="K37" s="59"/>
      <c r="L37" s="59"/>
      <c r="M37" s="59"/>
      <c r="N37" s="59"/>
      <c r="O37" s="59"/>
      <c r="P37" s="59"/>
      <c r="Q37" s="59"/>
      <c r="R37" s="59"/>
      <c r="S37" s="59"/>
      <c r="T37" s="59"/>
      <c r="U37" s="59"/>
      <c r="V37" s="59"/>
      <c r="W37" s="59"/>
      <c r="X37" s="59"/>
      <c r="Y37" s="59"/>
      <c r="Z37" s="59"/>
      <c r="AA37" s="59"/>
      <c r="AB37" s="59"/>
      <c r="AC37" s="59"/>
      <c r="AD37" s="59"/>
      <c r="AE37" s="59"/>
      <c r="AF37" s="59"/>
      <c r="AG37" s="59"/>
      <c r="AH37" s="59"/>
      <c r="AI37" s="59"/>
      <c r="AJ37" s="60"/>
      <c r="AK37" s="60"/>
      <c r="AL37" s="93"/>
    </row>
    <row r="38" spans="1:38" ht="14.25" customHeight="1" x14ac:dyDescent="0.2">
      <c r="A38" s="98" t="str">
        <f>IF(DolguStandart="TS EN ISO 17892-12","Formül ile:"&amp;CHAR(10)&amp;"wL = (w1/w2) * ((N1+N2/2)/25)^0.121","Grafikten")</f>
        <v>Formül ile:
wL = (w1/w2) * ((N1+N2/2)/25)^0.121</v>
      </c>
      <c r="B38" s="194" t="s">
        <v>101</v>
      </c>
      <c r="C38" s="57"/>
      <c r="D38" s="57"/>
      <c r="E38" s="57"/>
      <c r="F38" s="57"/>
      <c r="G38" s="57"/>
      <c r="H38" s="57"/>
      <c r="I38" s="57"/>
      <c r="J38" s="57"/>
      <c r="K38" s="57"/>
      <c r="L38" s="57"/>
      <c r="M38" s="57"/>
      <c r="N38" s="57"/>
      <c r="O38" s="57"/>
      <c r="P38" s="57"/>
      <c r="Q38" s="57"/>
      <c r="R38" s="57"/>
      <c r="S38" s="57"/>
      <c r="T38" s="57"/>
      <c r="U38" s="57"/>
      <c r="V38" s="57"/>
      <c r="W38" s="57"/>
      <c r="X38" s="57"/>
      <c r="Y38" s="57"/>
      <c r="Z38" s="57"/>
      <c r="AA38" s="57"/>
      <c r="AB38" s="57"/>
      <c r="AC38" s="57"/>
      <c r="AD38" s="57"/>
      <c r="AE38" s="57"/>
      <c r="AF38" s="57"/>
      <c r="AG38" s="57"/>
      <c r="AH38" s="57"/>
      <c r="AI38" s="57"/>
      <c r="AJ38" s="60"/>
      <c r="AK38" s="60"/>
      <c r="AL38" s="93"/>
    </row>
    <row r="39" spans="1:38" ht="14.25" x14ac:dyDescent="0.2">
      <c r="A39" s="98"/>
      <c r="B39" s="67" t="s">
        <v>118</v>
      </c>
      <c r="C39" s="147"/>
      <c r="D39" s="148"/>
      <c r="E39" s="149"/>
      <c r="F39" s="147"/>
      <c r="G39" s="148"/>
      <c r="H39" s="149"/>
      <c r="I39" s="147"/>
      <c r="J39" s="148"/>
      <c r="K39" s="149"/>
      <c r="L39" s="147"/>
      <c r="M39" s="148"/>
      <c r="N39" s="149"/>
      <c r="O39" s="147"/>
      <c r="P39" s="148"/>
      <c r="Q39" s="149"/>
      <c r="R39" s="147"/>
      <c r="S39" s="148"/>
      <c r="T39" s="149"/>
      <c r="U39" s="147"/>
      <c r="V39" s="148"/>
      <c r="W39" s="149"/>
      <c r="X39" s="147"/>
      <c r="Y39" s="148"/>
      <c r="Z39" s="149"/>
      <c r="AA39" s="147"/>
      <c r="AB39" s="148"/>
      <c r="AC39" s="149"/>
      <c r="AD39" s="147"/>
      <c r="AE39" s="148"/>
      <c r="AF39" s="149"/>
      <c r="AG39" s="147"/>
      <c r="AH39" s="148"/>
      <c r="AI39" s="149"/>
      <c r="AJ39" s="46" t="s">
        <v>63</v>
      </c>
      <c r="AK39" s="46" t="s">
        <v>63</v>
      </c>
      <c r="AL39" s="93"/>
    </row>
    <row r="40" spans="1:38" ht="24" x14ac:dyDescent="0.2">
      <c r="A40" s="99"/>
      <c r="B40" s="66" t="s">
        <v>104</v>
      </c>
      <c r="C40" s="143"/>
      <c r="D40" s="144"/>
      <c r="E40" s="145"/>
      <c r="F40" s="143"/>
      <c r="G40" s="144"/>
      <c r="H40" s="145"/>
      <c r="I40" s="143"/>
      <c r="J40" s="144"/>
      <c r="K40" s="145"/>
      <c r="L40" s="143"/>
      <c r="M40" s="144"/>
      <c r="N40" s="145"/>
      <c r="O40" s="143"/>
      <c r="P40" s="144"/>
      <c r="Q40" s="145"/>
      <c r="R40" s="143"/>
      <c r="S40" s="144"/>
      <c r="T40" s="145"/>
      <c r="U40" s="143"/>
      <c r="V40" s="144"/>
      <c r="W40" s="145"/>
      <c r="X40" s="143"/>
      <c r="Y40" s="144"/>
      <c r="Z40" s="145"/>
      <c r="AA40" s="143"/>
      <c r="AB40" s="144"/>
      <c r="AC40" s="145"/>
      <c r="AD40" s="143"/>
      <c r="AE40" s="144"/>
      <c r="AF40" s="145"/>
      <c r="AG40" s="143"/>
      <c r="AH40" s="144"/>
      <c r="AI40" s="145"/>
      <c r="AJ40" s="46" t="s">
        <v>20</v>
      </c>
      <c r="AK40" s="46" t="s">
        <v>15</v>
      </c>
      <c r="AL40" s="94"/>
    </row>
    <row r="41" spans="1:38" ht="14.25" customHeight="1" x14ac:dyDescent="0.2">
      <c r="A41" s="113" t="s">
        <v>86</v>
      </c>
      <c r="B41" s="113"/>
      <c r="C41" s="107"/>
      <c r="D41" s="108"/>
      <c r="E41" s="109"/>
      <c r="F41" s="107"/>
      <c r="G41" s="108"/>
      <c r="H41" s="109"/>
      <c r="I41" s="107"/>
      <c r="J41" s="108"/>
      <c r="K41" s="109"/>
      <c r="L41" s="107"/>
      <c r="M41" s="108"/>
      <c r="N41" s="109"/>
      <c r="O41" s="107"/>
      <c r="P41" s="108"/>
      <c r="Q41" s="109"/>
      <c r="R41" s="107"/>
      <c r="S41" s="108"/>
      <c r="T41" s="109"/>
      <c r="U41" s="107"/>
      <c r="V41" s="108"/>
      <c r="W41" s="109"/>
      <c r="X41" s="107"/>
      <c r="Y41" s="108"/>
      <c r="Z41" s="109"/>
      <c r="AA41" s="107"/>
      <c r="AB41" s="108"/>
      <c r="AC41" s="109"/>
      <c r="AD41" s="107"/>
      <c r="AE41" s="108"/>
      <c r="AF41" s="109"/>
      <c r="AG41" s="107"/>
      <c r="AH41" s="108"/>
      <c r="AI41" s="109"/>
      <c r="AJ41" s="53" t="s">
        <v>63</v>
      </c>
      <c r="AK41" s="53" t="s">
        <v>63</v>
      </c>
      <c r="AL41" s="95" t="s">
        <v>88</v>
      </c>
    </row>
    <row r="42" spans="1:38" ht="14.25" x14ac:dyDescent="0.2">
      <c r="A42" s="113" t="s">
        <v>116</v>
      </c>
      <c r="B42" s="113"/>
      <c r="C42" s="107"/>
      <c r="D42" s="108"/>
      <c r="E42" s="109"/>
      <c r="F42" s="107"/>
      <c r="G42" s="108"/>
      <c r="H42" s="109"/>
      <c r="I42" s="107"/>
      <c r="J42" s="108"/>
      <c r="K42" s="109"/>
      <c r="L42" s="107"/>
      <c r="M42" s="108"/>
      <c r="N42" s="109"/>
      <c r="O42" s="107"/>
      <c r="P42" s="108"/>
      <c r="Q42" s="109"/>
      <c r="R42" s="107"/>
      <c r="S42" s="108"/>
      <c r="T42" s="109"/>
      <c r="U42" s="107"/>
      <c r="V42" s="108"/>
      <c r="W42" s="109"/>
      <c r="X42" s="107"/>
      <c r="Y42" s="108"/>
      <c r="Z42" s="109"/>
      <c r="AA42" s="107"/>
      <c r="AB42" s="108"/>
      <c r="AC42" s="109"/>
      <c r="AD42" s="107"/>
      <c r="AE42" s="108"/>
      <c r="AF42" s="109"/>
      <c r="AG42" s="107"/>
      <c r="AH42" s="108"/>
      <c r="AI42" s="109"/>
      <c r="AJ42" s="53" t="s">
        <v>63</v>
      </c>
      <c r="AK42" s="53" t="s">
        <v>63</v>
      </c>
      <c r="AL42" s="95"/>
    </row>
    <row r="43" spans="1:38" ht="78" customHeight="1" x14ac:dyDescent="0.2">
      <c r="A43" s="190" t="s">
        <v>47</v>
      </c>
      <c r="B43" s="191"/>
      <c r="C43" s="168"/>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69"/>
      <c r="AB43" s="169"/>
      <c r="AC43" s="169"/>
      <c r="AD43" s="169"/>
      <c r="AE43" s="169"/>
      <c r="AF43" s="169"/>
      <c r="AG43" s="169"/>
      <c r="AH43" s="169"/>
      <c r="AI43" s="169"/>
      <c r="AJ43" s="169"/>
      <c r="AK43" s="169"/>
      <c r="AL43" s="170"/>
    </row>
    <row r="44" spans="1:38" ht="14.25" customHeight="1" x14ac:dyDescent="0.2">
      <c r="A44" s="158" t="s">
        <v>1</v>
      </c>
      <c r="B44" s="135"/>
      <c r="C44" s="135" t="s">
        <v>26</v>
      </c>
      <c r="D44" s="135"/>
      <c r="E44" s="135"/>
      <c r="F44" s="135"/>
      <c r="G44" s="135" t="s">
        <v>44</v>
      </c>
      <c r="H44" s="135"/>
      <c r="I44" s="135"/>
      <c r="J44" s="135"/>
      <c r="K44" s="135"/>
      <c r="L44" s="135"/>
      <c r="M44" s="42"/>
      <c r="N44" s="42"/>
      <c r="O44" s="52"/>
      <c r="P44" s="52"/>
      <c r="Q44" s="52"/>
      <c r="R44" s="52"/>
      <c r="S44" s="52"/>
      <c r="T44" s="52"/>
      <c r="U44" s="52"/>
      <c r="V44" s="52"/>
      <c r="W44" s="52"/>
      <c r="X44" s="52"/>
      <c r="Y44" s="52"/>
      <c r="Z44" s="52"/>
      <c r="AA44" s="52"/>
      <c r="AB44" s="52"/>
      <c r="AC44" s="52"/>
      <c r="AD44" s="52"/>
      <c r="AE44" s="52"/>
      <c r="AF44" s="52"/>
      <c r="AG44" s="52"/>
      <c r="AH44" s="52"/>
      <c r="AI44" s="52"/>
      <c r="AJ44" s="135" t="s">
        <v>2</v>
      </c>
      <c r="AK44" s="135"/>
      <c r="AL44" s="136"/>
    </row>
    <row r="45" spans="1:38" ht="14.25" customHeight="1" x14ac:dyDescent="0.2">
      <c r="A45" s="134" t="s">
        <v>78</v>
      </c>
      <c r="B45" s="130"/>
      <c r="C45" s="130" t="s">
        <v>29</v>
      </c>
      <c r="D45" s="130"/>
      <c r="E45" s="130"/>
      <c r="F45" s="130"/>
      <c r="G45" s="162" t="s">
        <v>45</v>
      </c>
      <c r="H45" s="162"/>
      <c r="I45" s="162"/>
      <c r="J45" s="162"/>
      <c r="K45" s="162"/>
      <c r="L45" s="162"/>
      <c r="M45" s="43"/>
      <c r="N45" s="43"/>
      <c r="O45" s="51"/>
      <c r="P45" s="51"/>
      <c r="Q45" s="51"/>
      <c r="R45" s="51"/>
      <c r="S45" s="51"/>
      <c r="T45" s="51"/>
      <c r="U45" s="51"/>
      <c r="V45" s="51"/>
      <c r="W45" s="51"/>
      <c r="X45" s="51"/>
      <c r="Y45" s="51"/>
      <c r="Z45" s="51"/>
      <c r="AA45" s="51"/>
      <c r="AB45" s="51"/>
      <c r="AC45" s="51"/>
      <c r="AD45" s="51"/>
      <c r="AE45" s="51"/>
      <c r="AF45" s="51"/>
      <c r="AG45" s="51"/>
      <c r="AH45" s="51"/>
      <c r="AI45" s="51"/>
      <c r="AJ45" s="130" t="s">
        <v>19</v>
      </c>
      <c r="AK45" s="130"/>
      <c r="AL45" s="131"/>
    </row>
    <row r="46" spans="1:38" ht="34.5" customHeight="1" x14ac:dyDescent="0.2">
      <c r="A46" s="196"/>
      <c r="B46" s="44"/>
      <c r="C46" s="44"/>
      <c r="D46" s="44"/>
      <c r="E46" s="44"/>
      <c r="F46" s="44"/>
      <c r="G46" s="44"/>
      <c r="H46" s="44"/>
      <c r="I46" s="44"/>
      <c r="J46" s="65"/>
      <c r="K46" s="65"/>
      <c r="L46" s="65"/>
      <c r="M46" s="65"/>
      <c r="N46" s="65"/>
      <c r="O46" s="45"/>
      <c r="P46" s="45"/>
      <c r="Q46" s="45"/>
      <c r="R46" s="45"/>
      <c r="S46" s="45"/>
      <c r="T46" s="45"/>
      <c r="U46" s="45"/>
      <c r="V46" s="45"/>
      <c r="W46" s="45"/>
      <c r="X46" s="45"/>
      <c r="Y46" s="45"/>
      <c r="Z46" s="45"/>
      <c r="AA46" s="45"/>
      <c r="AB46" s="45"/>
      <c r="AC46" s="45"/>
      <c r="AD46" s="45"/>
      <c r="AE46" s="45"/>
      <c r="AF46" s="45"/>
      <c r="AG46" s="45"/>
      <c r="AH46" s="45"/>
      <c r="AI46" s="45"/>
      <c r="AJ46" s="44"/>
      <c r="AK46" s="44"/>
      <c r="AL46" s="197"/>
    </row>
    <row r="47" spans="1:38" s="10" customFormat="1" ht="39" customHeight="1" x14ac:dyDescent="0.25">
      <c r="A47" s="128"/>
      <c r="B47" s="129"/>
      <c r="C47" s="129"/>
      <c r="D47" s="129"/>
      <c r="E47" s="129"/>
      <c r="F47" s="129"/>
      <c r="G47" s="126" t="str">
        <f>Kapak!D18</f>
        <v xml:space="preserve">Neslinur Sinem KAVAK
Yol ve Yapı Malzemeleri Şefi
</v>
      </c>
      <c r="H47" s="126"/>
      <c r="I47" s="126"/>
      <c r="J47" s="126"/>
      <c r="K47" s="126"/>
      <c r="L47" s="126"/>
      <c r="M47" s="195"/>
      <c r="N47" s="195"/>
      <c r="O47" s="50"/>
      <c r="P47" s="50"/>
      <c r="Q47" s="50"/>
      <c r="R47" s="50"/>
      <c r="S47" s="50"/>
      <c r="T47" s="50"/>
      <c r="U47" s="50"/>
      <c r="V47" s="50"/>
      <c r="W47" s="50"/>
      <c r="X47" s="50"/>
      <c r="Y47" s="50"/>
      <c r="Z47" s="50"/>
      <c r="AA47" s="50"/>
      <c r="AB47" s="50"/>
      <c r="AC47" s="50"/>
      <c r="AD47" s="50"/>
      <c r="AE47" s="50"/>
      <c r="AF47" s="50"/>
      <c r="AG47" s="50"/>
      <c r="AH47" s="50"/>
      <c r="AI47" s="50"/>
      <c r="AJ47" s="126" t="str">
        <f>Kapak!$I$18</f>
        <v xml:space="preserve">Mehmet TOKGÖZ
Araştırma ve Geliştirme Başmühendisi
</v>
      </c>
      <c r="AK47" s="126"/>
      <c r="AL47" s="127"/>
    </row>
    <row r="48" spans="1:38" ht="98.25" customHeight="1" x14ac:dyDescent="0.2">
      <c r="A48" s="159" t="s">
        <v>31</v>
      </c>
      <c r="B48" s="159"/>
      <c r="C48" s="159"/>
      <c r="D48" s="159"/>
      <c r="E48" s="160" t="s">
        <v>52</v>
      </c>
      <c r="F48" s="160"/>
      <c r="G48" s="160"/>
      <c r="H48" s="160"/>
      <c r="I48" s="160"/>
      <c r="J48" s="160"/>
      <c r="K48" s="160"/>
      <c r="L48" s="161" t="s">
        <v>43</v>
      </c>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row>
    <row r="49" ht="14.25" customHeight="1" x14ac:dyDescent="0.2"/>
    <row r="50" ht="14.25" customHeight="1" x14ac:dyDescent="0.2"/>
    <row r="51" ht="14.25" x14ac:dyDescent="0.2"/>
    <row r="52" ht="14.25" customHeight="1" x14ac:dyDescent="0.2"/>
    <row r="53" ht="14.25" customHeight="1" x14ac:dyDescent="0.2"/>
    <row r="54" ht="14.25" customHeight="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sheetData>
  <mergeCells count="375">
    <mergeCell ref="A23:B23"/>
    <mergeCell ref="A24:B24"/>
    <mergeCell ref="A41:B41"/>
    <mergeCell ref="A28:B28"/>
    <mergeCell ref="C44:F44"/>
    <mergeCell ref="C45:F45"/>
    <mergeCell ref="F41:H41"/>
    <mergeCell ref="F42:H42"/>
    <mergeCell ref="F31:H31"/>
    <mergeCell ref="F32:H32"/>
    <mergeCell ref="F36:H36"/>
    <mergeCell ref="F40:H40"/>
    <mergeCell ref="F25:H25"/>
    <mergeCell ref="F26:H26"/>
    <mergeCell ref="F27:H27"/>
    <mergeCell ref="G44:L44"/>
    <mergeCell ref="G45:L45"/>
    <mergeCell ref="AG11:AI11"/>
    <mergeCell ref="A43:B43"/>
    <mergeCell ref="C43:AL43"/>
    <mergeCell ref="A11:B11"/>
    <mergeCell ref="F11:H11"/>
    <mergeCell ref="L11:N11"/>
    <mergeCell ref="O11:Q11"/>
    <mergeCell ref="R11:T11"/>
    <mergeCell ref="U11:W11"/>
    <mergeCell ref="X11:Z11"/>
    <mergeCell ref="AA11:AC11"/>
    <mergeCell ref="I11:K11"/>
    <mergeCell ref="AG23:AI23"/>
    <mergeCell ref="AG24:AI24"/>
    <mergeCell ref="AG25:AI25"/>
    <mergeCell ref="AD40:AF40"/>
    <mergeCell ref="AG26:AI26"/>
    <mergeCell ref="AG28:AI28"/>
    <mergeCell ref="AG29:AI29"/>
    <mergeCell ref="AG30:AI30"/>
    <mergeCell ref="AG15:AI15"/>
    <mergeCell ref="AG16:AI16"/>
    <mergeCell ref="AG17:AI17"/>
    <mergeCell ref="AG18:AI18"/>
    <mergeCell ref="AD12:AF12"/>
    <mergeCell ref="AG12:AI12"/>
    <mergeCell ref="AL41:AL42"/>
    <mergeCell ref="AG42:AI42"/>
    <mergeCell ref="A14:B14"/>
    <mergeCell ref="AG40:AI40"/>
    <mergeCell ref="AL30:AL40"/>
    <mergeCell ref="C39:E39"/>
    <mergeCell ref="F39:H39"/>
    <mergeCell ref="I39:K39"/>
    <mergeCell ref="A12:B12"/>
    <mergeCell ref="F12:H12"/>
    <mergeCell ref="L12:N12"/>
    <mergeCell ref="I12:K12"/>
    <mergeCell ref="O12:Q12"/>
    <mergeCell ref="R12:T12"/>
    <mergeCell ref="U12:W12"/>
    <mergeCell ref="X12:Z12"/>
    <mergeCell ref="AA12:AC12"/>
    <mergeCell ref="AD42:AF42"/>
    <mergeCell ref="AG22:AI22"/>
    <mergeCell ref="A16:B16"/>
    <mergeCell ref="AG19:AI19"/>
    <mergeCell ref="AG20:AI20"/>
    <mergeCell ref="AG21:AI21"/>
    <mergeCell ref="AG39:AI39"/>
    <mergeCell ref="AG31:AI31"/>
    <mergeCell ref="AJ35:AK35"/>
    <mergeCell ref="AJ34:AK34"/>
    <mergeCell ref="AJ33:AK33"/>
    <mergeCell ref="AJ30:AK30"/>
    <mergeCell ref="AJ31:AK31"/>
    <mergeCell ref="AJ32:AK32"/>
    <mergeCell ref="AG32:AI32"/>
    <mergeCell ref="AG36:AI36"/>
    <mergeCell ref="AG27:AI27"/>
    <mergeCell ref="A9:B9"/>
    <mergeCell ref="A8:B8"/>
    <mergeCell ref="A7:B7"/>
    <mergeCell ref="C7:AI7"/>
    <mergeCell ref="F9:H9"/>
    <mergeCell ref="L9:N9"/>
    <mergeCell ref="O9:Q9"/>
    <mergeCell ref="R9:T9"/>
    <mergeCell ref="U9:W9"/>
    <mergeCell ref="X9:Z9"/>
    <mergeCell ref="AA9:AC9"/>
    <mergeCell ref="AD9:AF9"/>
    <mergeCell ref="AG9:AI9"/>
    <mergeCell ref="I9:K9"/>
    <mergeCell ref="C8:AI8"/>
    <mergeCell ref="AD25:AF25"/>
    <mergeCell ref="AA40:AC40"/>
    <mergeCell ref="AD10:AF10"/>
    <mergeCell ref="AD41:AF41"/>
    <mergeCell ref="AD39:AF39"/>
    <mergeCell ref="AD31:AF31"/>
    <mergeCell ref="AD32:AF32"/>
    <mergeCell ref="AD36:AF36"/>
    <mergeCell ref="AD26:AF26"/>
    <mergeCell ref="AD27:AF27"/>
    <mergeCell ref="AD28:AF28"/>
    <mergeCell ref="AD29:AF29"/>
    <mergeCell ref="AD30:AF30"/>
    <mergeCell ref="AD15:AF15"/>
    <mergeCell ref="AD16:AF16"/>
    <mergeCell ref="AD17:AF17"/>
    <mergeCell ref="AD18:AF18"/>
    <mergeCell ref="AD19:AF19"/>
    <mergeCell ref="AD20:AF20"/>
    <mergeCell ref="AD21:AF21"/>
    <mergeCell ref="X39:Z39"/>
    <mergeCell ref="X31:Z31"/>
    <mergeCell ref="X32:Z32"/>
    <mergeCell ref="X15:Z15"/>
    <mergeCell ref="X16:Z16"/>
    <mergeCell ref="AG10:AI10"/>
    <mergeCell ref="AG41:AI41"/>
    <mergeCell ref="AD22:AF22"/>
    <mergeCell ref="AD23:AF23"/>
    <mergeCell ref="AA10:AC10"/>
    <mergeCell ref="AA41:AC41"/>
    <mergeCell ref="AA39:AC39"/>
    <mergeCell ref="AA31:AC31"/>
    <mergeCell ref="AA32:AC32"/>
    <mergeCell ref="AA36:AC36"/>
    <mergeCell ref="AA26:AC26"/>
    <mergeCell ref="AA27:AC27"/>
    <mergeCell ref="AA28:AC28"/>
    <mergeCell ref="AA29:AC29"/>
    <mergeCell ref="AA30:AC30"/>
    <mergeCell ref="AA14:AC14"/>
    <mergeCell ref="AD14:AF14"/>
    <mergeCell ref="AD11:AF11"/>
    <mergeCell ref="AD24:AF24"/>
    <mergeCell ref="X21:Z21"/>
    <mergeCell ref="X22:Z22"/>
    <mergeCell ref="X23:Z23"/>
    <mergeCell ref="U29:W29"/>
    <mergeCell ref="U30:W30"/>
    <mergeCell ref="U10:W10"/>
    <mergeCell ref="X42:Z42"/>
    <mergeCell ref="AA15:AC15"/>
    <mergeCell ref="AA16:AC16"/>
    <mergeCell ref="AA17:AC17"/>
    <mergeCell ref="AA18:AC18"/>
    <mergeCell ref="AA19:AC19"/>
    <mergeCell ref="AA20:AC20"/>
    <mergeCell ref="AA21:AC21"/>
    <mergeCell ref="AA22:AC22"/>
    <mergeCell ref="AA23:AC23"/>
    <mergeCell ref="AA24:AC24"/>
    <mergeCell ref="AA25:AC25"/>
    <mergeCell ref="X40:Z40"/>
    <mergeCell ref="AA42:AC42"/>
    <mergeCell ref="X24:Z24"/>
    <mergeCell ref="X25:Z25"/>
    <mergeCell ref="X10:Z10"/>
    <mergeCell ref="X41:Z41"/>
    <mergeCell ref="X36:Z36"/>
    <mergeCell ref="X26:Z26"/>
    <mergeCell ref="X27:Z27"/>
    <mergeCell ref="X28:Z28"/>
    <mergeCell ref="X29:Z29"/>
    <mergeCell ref="X30:Z30"/>
    <mergeCell ref="R42:T42"/>
    <mergeCell ref="U15:W15"/>
    <mergeCell ref="U16:W16"/>
    <mergeCell ref="U17:W17"/>
    <mergeCell ref="U18:W18"/>
    <mergeCell ref="U19:W19"/>
    <mergeCell ref="U20:W20"/>
    <mergeCell ref="U21:W21"/>
    <mergeCell ref="U22:W22"/>
    <mergeCell ref="U23:W23"/>
    <mergeCell ref="U24:W24"/>
    <mergeCell ref="U25:W25"/>
    <mergeCell ref="R40:T40"/>
    <mergeCell ref="U42:W42"/>
    <mergeCell ref="R24:T24"/>
    <mergeCell ref="R25:T25"/>
    <mergeCell ref="U41:W41"/>
    <mergeCell ref="X17:Z17"/>
    <mergeCell ref="U39:W39"/>
    <mergeCell ref="U31:W31"/>
    <mergeCell ref="U32:W32"/>
    <mergeCell ref="U36:W36"/>
    <mergeCell ref="U26:W26"/>
    <mergeCell ref="U27:W27"/>
    <mergeCell ref="U28:W28"/>
    <mergeCell ref="O40:Q40"/>
    <mergeCell ref="R10:T10"/>
    <mergeCell ref="R15:T15"/>
    <mergeCell ref="R16:T16"/>
    <mergeCell ref="R17:T17"/>
    <mergeCell ref="R18:T18"/>
    <mergeCell ref="R19:T19"/>
    <mergeCell ref="R20:T20"/>
    <mergeCell ref="R21:T21"/>
    <mergeCell ref="R22:T22"/>
    <mergeCell ref="R23:T23"/>
    <mergeCell ref="O10:Q10"/>
    <mergeCell ref="U14:W14"/>
    <mergeCell ref="U40:W40"/>
    <mergeCell ref="R41:T41"/>
    <mergeCell ref="R39:T39"/>
    <mergeCell ref="R31:T31"/>
    <mergeCell ref="R32:T32"/>
    <mergeCell ref="R36:T36"/>
    <mergeCell ref="R26:T26"/>
    <mergeCell ref="R27:T27"/>
    <mergeCell ref="R28:T28"/>
    <mergeCell ref="R29:T29"/>
    <mergeCell ref="R30:T30"/>
    <mergeCell ref="L42:N42"/>
    <mergeCell ref="O15:Q15"/>
    <mergeCell ref="O16:Q16"/>
    <mergeCell ref="O17:Q17"/>
    <mergeCell ref="O18:Q18"/>
    <mergeCell ref="O19:Q19"/>
    <mergeCell ref="O20:Q20"/>
    <mergeCell ref="O21:Q21"/>
    <mergeCell ref="O22:Q22"/>
    <mergeCell ref="O23:Q23"/>
    <mergeCell ref="O24:Q24"/>
    <mergeCell ref="O25:Q25"/>
    <mergeCell ref="L40:N40"/>
    <mergeCell ref="O42:Q42"/>
    <mergeCell ref="L24:N24"/>
    <mergeCell ref="L25:N25"/>
    <mergeCell ref="O41:Q41"/>
    <mergeCell ref="O39:Q39"/>
    <mergeCell ref="O31:Q31"/>
    <mergeCell ref="O32:Q32"/>
    <mergeCell ref="O36:Q36"/>
    <mergeCell ref="O26:Q26"/>
    <mergeCell ref="O27:Q27"/>
    <mergeCell ref="O28:Q28"/>
    <mergeCell ref="L10:N10"/>
    <mergeCell ref="L41:N41"/>
    <mergeCell ref="L39:N39"/>
    <mergeCell ref="L31:N31"/>
    <mergeCell ref="L32:N32"/>
    <mergeCell ref="L36:N36"/>
    <mergeCell ref="L26:N26"/>
    <mergeCell ref="L27:N27"/>
    <mergeCell ref="L28:N28"/>
    <mergeCell ref="L29:N29"/>
    <mergeCell ref="L30:N30"/>
    <mergeCell ref="L15:N15"/>
    <mergeCell ref="L16:N16"/>
    <mergeCell ref="L17:N17"/>
    <mergeCell ref="L18:N18"/>
    <mergeCell ref="L19:N19"/>
    <mergeCell ref="L20:N20"/>
    <mergeCell ref="L21:N21"/>
    <mergeCell ref="L22:N22"/>
    <mergeCell ref="L23:N23"/>
    <mergeCell ref="I42:K42"/>
    <mergeCell ref="I41:K41"/>
    <mergeCell ref="I31:K31"/>
    <mergeCell ref="I32:K32"/>
    <mergeCell ref="I36:K36"/>
    <mergeCell ref="I26:K26"/>
    <mergeCell ref="I27:K27"/>
    <mergeCell ref="I28:K28"/>
    <mergeCell ref="I29:K29"/>
    <mergeCell ref="I30:K30"/>
    <mergeCell ref="I40:K40"/>
    <mergeCell ref="A42:B42"/>
    <mergeCell ref="F15:H15"/>
    <mergeCell ref="F16:H16"/>
    <mergeCell ref="F17:H17"/>
    <mergeCell ref="F18:H18"/>
    <mergeCell ref="F19:H19"/>
    <mergeCell ref="F20:H20"/>
    <mergeCell ref="F21:H21"/>
    <mergeCell ref="F22:H22"/>
    <mergeCell ref="F23:H23"/>
    <mergeCell ref="F24:H24"/>
    <mergeCell ref="C36:E36"/>
    <mergeCell ref="F30:H30"/>
    <mergeCell ref="C24:E24"/>
    <mergeCell ref="C30:E30"/>
    <mergeCell ref="C32:E32"/>
    <mergeCell ref="C25:E25"/>
    <mergeCell ref="C26:E26"/>
    <mergeCell ref="A17:B17"/>
    <mergeCell ref="A18:B18"/>
    <mergeCell ref="A19:B19"/>
    <mergeCell ref="A20:B20"/>
    <mergeCell ref="A21:B21"/>
    <mergeCell ref="A22:B22"/>
    <mergeCell ref="C12:E12"/>
    <mergeCell ref="C15:E15"/>
    <mergeCell ref="B1:AK4"/>
    <mergeCell ref="A6:B6"/>
    <mergeCell ref="C6:AL6"/>
    <mergeCell ref="A1:A2"/>
    <mergeCell ref="A3:A4"/>
    <mergeCell ref="AL15:AL24"/>
    <mergeCell ref="AK15:AK23"/>
    <mergeCell ref="AJ15:AJ23"/>
    <mergeCell ref="A15:B15"/>
    <mergeCell ref="C22:E22"/>
    <mergeCell ref="C23:E23"/>
    <mergeCell ref="C19:E19"/>
    <mergeCell ref="C20:E20"/>
    <mergeCell ref="C21:E21"/>
    <mergeCell ref="F10:H10"/>
    <mergeCell ref="I10:K10"/>
    <mergeCell ref="I21:K21"/>
    <mergeCell ref="I22:K22"/>
    <mergeCell ref="I23:K23"/>
    <mergeCell ref="AJ7:AJ14"/>
    <mergeCell ref="C9:E9"/>
    <mergeCell ref="C11:E11"/>
    <mergeCell ref="AK7:AK14"/>
    <mergeCell ref="AL7:AL14"/>
    <mergeCell ref="AL25:AL27"/>
    <mergeCell ref="AL28:AL29"/>
    <mergeCell ref="A36:A37"/>
    <mergeCell ref="A34:A35"/>
    <mergeCell ref="A31:A33"/>
    <mergeCell ref="AJ44:AL44"/>
    <mergeCell ref="C10:E10"/>
    <mergeCell ref="A10:B10"/>
    <mergeCell ref="C40:E40"/>
    <mergeCell ref="C41:E41"/>
    <mergeCell ref="C42:E42"/>
    <mergeCell ref="A44:B44"/>
    <mergeCell ref="A29:B29"/>
    <mergeCell ref="A25:A26"/>
    <mergeCell ref="AG14:AI14"/>
    <mergeCell ref="A38:A40"/>
    <mergeCell ref="C14:E14"/>
    <mergeCell ref="F14:H14"/>
    <mergeCell ref="I14:K14"/>
    <mergeCell ref="L14:N14"/>
    <mergeCell ref="O14:Q14"/>
    <mergeCell ref="R14:T14"/>
    <mergeCell ref="L48:AL48"/>
    <mergeCell ref="E48:K48"/>
    <mergeCell ref="AJ45:AL45"/>
    <mergeCell ref="A48:D48"/>
    <mergeCell ref="A47:B47"/>
    <mergeCell ref="AJ47:AL47"/>
    <mergeCell ref="A45:B45"/>
    <mergeCell ref="C47:F47"/>
    <mergeCell ref="G47:L47"/>
    <mergeCell ref="X14:Z14"/>
    <mergeCell ref="B25:B26"/>
    <mergeCell ref="C29:E29"/>
    <mergeCell ref="C31:E31"/>
    <mergeCell ref="C18:E18"/>
    <mergeCell ref="I25:K25"/>
    <mergeCell ref="I16:K16"/>
    <mergeCell ref="I17:K17"/>
    <mergeCell ref="I18:K18"/>
    <mergeCell ref="I19:K19"/>
    <mergeCell ref="I20:K20"/>
    <mergeCell ref="I15:K15"/>
    <mergeCell ref="I24:K24"/>
    <mergeCell ref="O29:Q29"/>
    <mergeCell ref="O30:Q30"/>
    <mergeCell ref="C27:E27"/>
    <mergeCell ref="C28:E28"/>
    <mergeCell ref="F28:H28"/>
    <mergeCell ref="F29:H29"/>
    <mergeCell ref="C16:E16"/>
    <mergeCell ref="C17:E17"/>
    <mergeCell ref="X18:Z18"/>
    <mergeCell ref="X19:Z19"/>
    <mergeCell ref="X20:Z20"/>
  </mergeCells>
  <printOptions horizontalCentered="1" verticalCentered="1"/>
  <pageMargins left="0.19685039370078741" right="0.19685039370078741" top="0.19685039370078741" bottom="0.19685039370078741" header="0" footer="0"/>
  <pageSetup paperSize="9" scale="87" orientation="portrait"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200-000000000000}">
          <x14:formula1>
            <xm:f>Kaynak!$B$1:$B$3</xm:f>
          </x14:formula1>
          <xm:sqref>C32:AI32</xm:sqref>
        </x14:dataValidation>
        <x14:dataValidation type="list" allowBlank="1" showInputMessage="1" showErrorMessage="1" xr:uid="{00000000-0002-0000-0200-000001000000}">
          <x14:formula1>
            <xm:f>Kaynak!$C$1:$C$3</xm:f>
          </x14:formula1>
          <xm:sqref>C31:AI31</xm:sqref>
        </x14:dataValidation>
        <x14:dataValidation type="list" allowBlank="1" showInputMessage="1" showErrorMessage="1" xr:uid="{00000000-0002-0000-0200-000002000000}">
          <x14:formula1>
            <xm:f>Kaynak!$D$1:$D$5</xm:f>
          </x14:formula1>
          <xm:sqref>C30:AI30</xm:sqref>
        </x14:dataValidation>
        <x14:dataValidation type="list" allowBlank="1" showInputMessage="1" showErrorMessage="1" xr:uid="{00000000-0002-0000-0200-000006000000}">
          <x14:formula1>
            <xm:f>Kaynak!$E$1:$E$3</xm:f>
          </x14:formula1>
          <xm:sqref>B25:B27</xm:sqref>
        </x14:dataValidation>
        <x14:dataValidation type="list" allowBlank="1" showInputMessage="1" showErrorMessage="1" xr:uid="{00000000-0002-0000-0200-000003000000}">
          <x14:formula1>
            <xm:f>Kaynak!A1:A2</xm:f>
          </x14:formula1>
          <xm:sqref>AL30</xm:sqref>
        </x14:dataValidation>
        <x14:dataValidation type="list" allowBlank="1" showInputMessage="1" showErrorMessage="1" xr:uid="{00000000-0002-0000-0200-000004000000}">
          <x14:formula1>
            <xm:f>Kaynak!A3:A4</xm:f>
          </x14:formula1>
          <xm:sqref>AL31</xm:sqref>
        </x14:dataValidation>
        <x14:dataValidation type="list" allowBlank="1" showInputMessage="1" showErrorMessage="1" xr:uid="{00000000-0002-0000-0200-000005000000}">
          <x14:formula1>
            <xm:f>Kaynak!A5:A6</xm:f>
          </x14:formula1>
          <xm:sqref>AL32:AL40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Kaynak"/>
  <dimension ref="A1:E5"/>
  <sheetViews>
    <sheetView workbookViewId="0">
      <selection activeCell="C13" sqref="C13"/>
    </sheetView>
  </sheetViews>
  <sheetFormatPr defaultRowHeight="15" x14ac:dyDescent="0.25"/>
  <cols>
    <col min="1" max="1" width="20" bestFit="1" customWidth="1"/>
    <col min="3" max="3" width="17.85546875" bestFit="1" customWidth="1"/>
    <col min="4" max="4" width="10.140625" bestFit="1" customWidth="1"/>
    <col min="5" max="5" width="9.42578125" bestFit="1" customWidth="1"/>
  </cols>
  <sheetData>
    <row r="1" spans="1:5" x14ac:dyDescent="0.25">
      <c r="A1" t="s">
        <v>66</v>
      </c>
      <c r="B1" t="s">
        <v>63</v>
      </c>
      <c r="C1" t="s">
        <v>63</v>
      </c>
      <c r="D1" t="s">
        <v>63</v>
      </c>
      <c r="E1" t="s">
        <v>16</v>
      </c>
    </row>
    <row r="2" spans="1:5" x14ac:dyDescent="0.25">
      <c r="A2" t="s">
        <v>65</v>
      </c>
      <c r="B2" t="s">
        <v>89</v>
      </c>
      <c r="C2" t="s">
        <v>94</v>
      </c>
      <c r="D2" t="s">
        <v>74</v>
      </c>
      <c r="E2" t="s">
        <v>110</v>
      </c>
    </row>
    <row r="3" spans="1:5" x14ac:dyDescent="0.25">
      <c r="B3" t="s">
        <v>90</v>
      </c>
      <c r="C3" t="s">
        <v>95</v>
      </c>
      <c r="D3" t="s">
        <v>91</v>
      </c>
      <c r="E3" t="s">
        <v>111</v>
      </c>
    </row>
    <row r="4" spans="1:5" x14ac:dyDescent="0.25">
      <c r="D4" t="s">
        <v>92</v>
      </c>
    </row>
    <row r="5" spans="1:5" x14ac:dyDescent="0.25">
      <c r="D5" t="s">
        <v>93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4</vt:i4>
      </vt:variant>
      <vt:variant>
        <vt:lpstr>Adlandırılmış Aralıklar</vt:lpstr>
      </vt:variant>
      <vt:variant>
        <vt:i4>45</vt:i4>
      </vt:variant>
    </vt:vector>
  </HeadingPairs>
  <TitlesOfParts>
    <vt:vector size="49" baseType="lpstr">
      <vt:lpstr>Kapak</vt:lpstr>
      <vt:lpstr>Toprakarme</vt:lpstr>
      <vt:lpstr>Dolgu</vt:lpstr>
      <vt:lpstr>Kaynak</vt:lpstr>
      <vt:lpstr>ArmeAciklama</vt:lpstr>
      <vt:lpstr>ArmeAraziNo</vt:lpstr>
      <vt:lpstr>ArmeCBR</vt:lpstr>
      <vt:lpstr>ArmeCu</vt:lpstr>
      <vt:lpstr>ArmeElemeYontemi</vt:lpstr>
      <vt:lpstr>ArmeGecen</vt:lpstr>
      <vt:lpstr>ArmeGecenNo10</vt:lpstr>
      <vt:lpstr>ArmeGecenNo200</vt:lpstr>
      <vt:lpstr>ArmeGecenNo30</vt:lpstr>
      <vt:lpstr>ArmeGecenNo40</vt:lpstr>
      <vt:lpstr>ArmeGecenS125</vt:lpstr>
      <vt:lpstr>ArmeGecenS13</vt:lpstr>
      <vt:lpstr>ArmeGecenS75</vt:lpstr>
      <vt:lpstr>ArmeKesafet</vt:lpstr>
      <vt:lpstr>ArmeKesafetKN</vt:lpstr>
      <vt:lpstr>ArmeKurutmaSekli</vt:lpstr>
      <vt:lpstr>ArmeLL</vt:lpstr>
      <vt:lpstr>ArmeLLTekrarSayisi</vt:lpstr>
      <vt:lpstr>ArmePI</vt:lpstr>
      <vt:lpstr>ArmePL</vt:lpstr>
      <vt:lpstr>ArmePLTekrarSayisi</vt:lpstr>
      <vt:lpstr>ArmeSisme</vt:lpstr>
      <vt:lpstr>ArmeStandart</vt:lpstr>
      <vt:lpstr>ArmeSuIcerigi</vt:lpstr>
      <vt:lpstr>DolguAciklama</vt:lpstr>
      <vt:lpstr>DolguAraziNo</vt:lpstr>
      <vt:lpstr>DolguCBR</vt:lpstr>
      <vt:lpstr>DolguElemeYontemi</vt:lpstr>
      <vt:lpstr>DolguGecen</vt:lpstr>
      <vt:lpstr>DolguGecenNo200</vt:lpstr>
      <vt:lpstr>DolguGecenNo40</vt:lpstr>
      <vt:lpstr>DolguKesafet</vt:lpstr>
      <vt:lpstr>DolguKesafetkN</vt:lpstr>
      <vt:lpstr>DolguKurutmaSekli</vt:lpstr>
      <vt:lpstr>DolguLL</vt:lpstr>
      <vt:lpstr>DolguLLTekrarSayisi</vt:lpstr>
      <vt:lpstr>DolguPI</vt:lpstr>
      <vt:lpstr>DolguPL</vt:lpstr>
      <vt:lpstr>DolguPLTekrarSayisi</vt:lpstr>
      <vt:lpstr>DolguSisme</vt:lpstr>
      <vt:lpstr>DolguStandart</vt:lpstr>
      <vt:lpstr>DolguSuIcerigi</vt:lpstr>
      <vt:lpstr>Dolgu!Yazdırma_Alanı</vt:lpstr>
      <vt:lpstr>Kapak!Yazdırma_Alanı</vt:lpstr>
      <vt:lpstr>Toprakarme!Yazdırma_Alanı</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Mehmet Durmaz</dc:creator>
  <cp:lastModifiedBy>Mehmet Durmaz</cp:lastModifiedBy>
  <cp:lastPrinted>2020-12-22T21:43:34Z</cp:lastPrinted>
  <dcterms:created xsi:type="dcterms:W3CDTF">2015-04-13T08:02:25Z</dcterms:created>
  <dcterms:modified xsi:type="dcterms:W3CDTF">2020-12-22T21:45:39Z</dcterms:modified>
</cp:coreProperties>
</file>